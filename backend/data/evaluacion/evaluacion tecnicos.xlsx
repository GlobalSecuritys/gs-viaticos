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gs-viaticos\backend\data\evaluacion\"/>
    </mc:Choice>
  </mc:AlternateContent>
  <xr:revisionPtr revIDLastSave="0" documentId="8_{E183EE1F-7829-45D9-9E44-CBB28283DC01}" xr6:coauthVersionLast="47" xr6:coauthVersionMax="47" xr10:uidLastSave="{00000000-0000-0000-0000-000000000000}"/>
  <bookViews>
    <workbookView xWindow="-100" yWindow="-100" windowWidth="21467" windowHeight="11443" tabRatio="500" xr2:uid="{00000000-000D-0000-FFFF-FFFF00000000}"/>
  </bookViews>
  <sheets>
    <sheet name="Formato individual (PDF)" sheetId="1" r:id="rId1"/>
    <sheet name="Ejemplo diligenciado" sheetId="2" r:id="rId2"/>
    <sheet name="Consolidado semestral" sheetId="3" r:id="rId3"/>
    <sheet name="Especificación" sheetId="4" r:id="rId4"/>
  </sheets>
  <definedNames>
    <definedName name="_xlnm.Print_Area" localSheetId="2">'Consolidado semestral'!$A$1:$Q$45</definedName>
    <definedName name="_xlnm.Print_Area" localSheetId="1">'Ejemplo diligenciado'!$A$1:$H$51</definedName>
    <definedName name="_xlnm.Print_Area" localSheetId="0">'Formato individual (PDF)'!$A$1:$H$51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39" i="3" l="1"/>
  <c r="O38" i="3"/>
  <c r="O37" i="3"/>
  <c r="P37" i="3" s="1"/>
  <c r="O36" i="3"/>
  <c r="O35" i="3"/>
  <c r="O34" i="3"/>
  <c r="P34" i="3" s="1"/>
  <c r="O33" i="3"/>
  <c r="O32" i="3"/>
  <c r="O31" i="3"/>
  <c r="P31" i="3" s="1"/>
  <c r="O30" i="3"/>
  <c r="O29" i="3"/>
  <c r="O28" i="3"/>
  <c r="P28" i="3" s="1"/>
  <c r="O27" i="3"/>
  <c r="O26" i="3"/>
  <c r="O25" i="3"/>
  <c r="P25" i="3" s="1"/>
  <c r="O24" i="3"/>
  <c r="O23" i="3"/>
  <c r="O22" i="3"/>
  <c r="P22" i="3" s="1"/>
  <c r="O21" i="3"/>
  <c r="O20" i="3"/>
  <c r="O19" i="3"/>
  <c r="P19" i="3" s="1"/>
  <c r="O18" i="3"/>
  <c r="O17" i="3"/>
  <c r="O16" i="3"/>
  <c r="P16" i="3" s="1"/>
  <c r="F36" i="2"/>
  <c r="E36" i="2"/>
  <c r="D37" i="2" s="1"/>
  <c r="D36" i="2"/>
  <c r="G35" i="2"/>
  <c r="G33" i="2"/>
  <c r="G32" i="2"/>
  <c r="G31" i="2"/>
  <c r="G30" i="2"/>
  <c r="G29" i="2"/>
  <c r="G27" i="2"/>
  <c r="G26" i="2"/>
  <c r="G25" i="2"/>
  <c r="G24" i="2"/>
  <c r="G23" i="2"/>
  <c r="D38" i="1"/>
  <c r="D39" i="1" s="1"/>
  <c r="D37" i="1"/>
  <c r="D40" i="1" s="1"/>
  <c r="F36" i="1"/>
  <c r="E36" i="1"/>
  <c r="D36" i="1"/>
  <c r="G35" i="1"/>
  <c r="G33" i="1"/>
  <c r="G32" i="1"/>
  <c r="G31" i="1"/>
  <c r="G30" i="1"/>
  <c r="G29" i="1"/>
  <c r="G27" i="1"/>
  <c r="G26" i="1"/>
  <c r="G25" i="1"/>
  <c r="G24" i="1"/>
  <c r="G23" i="1"/>
  <c r="D38" i="2" l="1"/>
  <c r="D39" i="2" s="1"/>
  <c r="D4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9" authorId="0" shapeId="0" xr:uid="{00000000-0006-0000-0200-000002000000}">
      <text>
        <r>
          <rPr>
            <sz val="10"/>
            <rFont val="Arial"/>
            <family val="2"/>
          </rPr>
          <t>Escala tal como la entregó gerencia. Los huecos (39-40, 69-70, 99-100) se cierran en el sistema: &lt;40 Deficiente, 40-69,99 Aceptable, 70-99,99 Bueno, 100 Muy bueno (sobre porcentaje = final ÷ 4).</t>
        </r>
      </text>
    </comment>
    <comment ref="B14" authorId="0" shapeId="0" xr:uid="{00000000-0006-0000-0200-000001000000}">
      <text>
        <r>
          <rPr>
            <sz val="10"/>
            <rFont val="Arial"/>
            <family val="2"/>
          </rPr>
          <t>El formato original decía '6 ítems', pero tiene 11 criterios (D a N). Corregido a 11.</t>
        </r>
      </text>
    </comment>
  </commentList>
</comments>
</file>

<file path=xl/sharedStrings.xml><?xml version="1.0" encoding="utf-8"?>
<sst xmlns="http://schemas.openxmlformats.org/spreadsheetml/2006/main" count="415" uniqueCount="233">
  <si>
    <t>GLOBAL SECURITY BANK SAS</t>
  </si>
  <si>
    <t>CÓDIGO:</t>
  </si>
  <si>
    <t>VERSIÓN:</t>
  </si>
  <si>
    <t>AD-FR-35</t>
  </si>
  <si>
    <t>EVALUACIÓN DE TÉCNICOS CONTRATISTAS</t>
  </si>
  <si>
    <t>FECHA ACT:</t>
  </si>
  <si>
    <t>PÁGINAS:</t>
  </si>
  <si>
    <t>TÉCNICO CONTRATISTA</t>
  </si>
  <si>
    <t>PERIODO DE EVALUACIÓN</t>
  </si>
  <si>
    <t>EVALUADOR</t>
  </si>
  <si>
    <t>PILAR ARISTIZABAL GIL</t>
  </si>
  <si>
    <t>CARGO</t>
  </si>
  <si>
    <t>Directora Administrativa</t>
  </si>
  <si>
    <t>FECHA DE EVALUACIÓN</t>
  </si>
  <si>
    <t>ESTADO</t>
  </si>
  <si>
    <t>DESEMPEÑO</t>
  </si>
  <si>
    <t>PUNTAJE</t>
  </si>
  <si>
    <t>ESCALA DE EVALUACIÓN</t>
  </si>
  <si>
    <t>CAPAS DE EVALUACIÓN</t>
  </si>
  <si>
    <t>DEFICIENTE</t>
  </si>
  <si>
    <t>&lt; 39</t>
  </si>
  <si>
    <t>AUTO</t>
  </si>
  <si>
    <t>El propio técnico</t>
  </si>
  <si>
    <t>ACEPTABLE</t>
  </si>
  <si>
    <t>&gt; 40 &amp; &lt; 69</t>
  </si>
  <si>
    <t>VIÁTICOS</t>
  </si>
  <si>
    <t>Administrativa a cargo de viáticos (por definir)</t>
  </si>
  <si>
    <t>BUENO</t>
  </si>
  <si>
    <t>&gt; 70 &amp; &lt; 99</t>
  </si>
  <si>
    <t>ASISTENTE OPER</t>
  </si>
  <si>
    <t>Asistente de operaciones (por definir)</t>
  </si>
  <si>
    <t>MUY BUENO</t>
  </si>
  <si>
    <t>100</t>
  </si>
  <si>
    <t>N/A</t>
  </si>
  <si>
    <t>No aplica</t>
  </si>
  <si>
    <t>No se promedia</t>
  </si>
  <si>
    <t>* El proveedor aprueba la evaluación con una calificación mayor o igual a 3 puntos</t>
  </si>
  <si>
    <t>* La calificación por área es el promedio de los 11 criterios de cada capa (N/A no se promedia). La calificación final es el promedio de las 3 calificaciones por área.</t>
  </si>
  <si>
    <t>CRITERIO DE EVALUACIÓN</t>
  </si>
  <si>
    <t>PROMEDIO CRITERIO</t>
  </si>
  <si>
    <t>1. SERVICIO EN CAMPO</t>
  </si>
  <si>
    <t>1.1</t>
  </si>
  <si>
    <t>Puntualidad</t>
  </si>
  <si>
    <t>1.2</t>
  </si>
  <si>
    <t>Tiempos de ejecución del servicio (SLA)</t>
  </si>
  <si>
    <t>1.3</t>
  </si>
  <si>
    <t>Atención y actitud del servicio</t>
  </si>
  <si>
    <t>1.4</t>
  </si>
  <si>
    <t>Uso de los elementos de protección personal</t>
  </si>
  <si>
    <t>1.5</t>
  </si>
  <si>
    <t>Calidad del servicio</t>
  </si>
  <si>
    <t>2. GESTIÓN ADMINISTRATIVA</t>
  </si>
  <si>
    <t>2.1</t>
  </si>
  <si>
    <t>Comunicación cliente interno</t>
  </si>
  <si>
    <t>2.2</t>
  </si>
  <si>
    <t>Procedimientos administrativos (manejo de plataforma de viáticos)</t>
  </si>
  <si>
    <t>2.3</t>
  </si>
  <si>
    <t>Manejo de inventario</t>
  </si>
  <si>
    <t>2.4</t>
  </si>
  <si>
    <t>Manejo de la plataforma de ODS</t>
  </si>
  <si>
    <t>2.5</t>
  </si>
  <si>
    <t>Procedimientos administrativos (cuentas de cobro - pago de seguridad social)</t>
  </si>
  <si>
    <t>3. CONOCIMIENTO TÉCNICO</t>
  </si>
  <si>
    <t>3.1</t>
  </si>
  <si>
    <t>Conocimientos técnicos</t>
  </si>
  <si>
    <t>CALIFICACIÓN POR ÁREA</t>
  </si>
  <si>
    <t>CALIFICACIÓN FINAL</t>
  </si>
  <si>
    <t>PORCENTAJE (calificación final ÷ 4)</t>
  </si>
  <si>
    <t>NIVEL DE DESEMPEÑO</t>
  </si>
  <si>
    <t>RESULTADO</t>
  </si>
  <si>
    <t>OBSERVACIONES</t>
  </si>
  <si>
    <t>FINAL (DIRECTORA ADMIN.)</t>
  </si>
  <si>
    <t>FIRMA / ENVÍO DEL TÉCNICO</t>
  </si>
  <si>
    <t>FIRMA / CIERRE DEL EVALUADOR</t>
  </si>
  <si>
    <t>Los compromisos se diligencian en el formato de compromisos (documento independiente).</t>
  </si>
  <si>
    <t>JUAN PÉREZ (EJEMPLO)</t>
  </si>
  <si>
    <t>SEGUNDO SEMESTRE 2026</t>
  </si>
  <si>
    <t>COMPLETADO</t>
  </si>
  <si>
    <t>Me comprometo a mejorar los tiempos de entrega de soportes.</t>
  </si>
  <si>
    <t>Legaliza a tiempo, pero 2 soportes del periodo llegaron incompletos.</t>
  </si>
  <si>
    <t>Buen cumplimiento de ODS; mejorar reporte de inventario.</t>
  </si>
  <si>
    <t>Aprueba. Reforzar procedimientos de cuentas de cobro (ver compromisos).</t>
  </si>
  <si>
    <t>Juan Pérez · enviado 02/12/2026 09:14</t>
  </si>
  <si>
    <t>Pilar Aristizabal Gil · cerrado 15/12/2026 16:40</t>
  </si>
  <si>
    <t xml:space="preserve">GLOBAL SECURITY BANK SAS </t>
  </si>
  <si>
    <t xml:space="preserve">VERSIÓN: </t>
  </si>
  <si>
    <t xml:space="preserve">AD-FR-35 </t>
  </si>
  <si>
    <t xml:space="preserve">EVALUACIÓN  DE TECNICOS CONTRATISTAS </t>
  </si>
  <si>
    <t>PAGINAS:</t>
  </si>
  <si>
    <t>ESCALA DE EVALUACION</t>
  </si>
  <si>
    <t xml:space="preserve">PILAR ARISTIZABAL GIL </t>
  </si>
  <si>
    <t>&gt; 70 &amp;  &lt; 99</t>
  </si>
  <si>
    <t xml:space="preserve">MUY BUENO </t>
  </si>
  <si>
    <t>SEGUNDO SEMESTRE 2026 (EJEMPLO)</t>
  </si>
  <si>
    <t>* La calificación es el promedio de los 11 ítems evaluados</t>
  </si>
  <si>
    <t xml:space="preserve">TECNICO CONTRATISTA </t>
  </si>
  <si>
    <t xml:space="preserve">PUNTUALIDAD </t>
  </si>
  <si>
    <t>TIEMPOS DE EJECUCION DEL SERVICIO (SLA)</t>
  </si>
  <si>
    <t>ATENCION Y ACTITUD DEL SERVICIO</t>
  </si>
  <si>
    <t xml:space="preserve">USO DE LOS ELEMENTOS DE PROTECCION PERSONAL </t>
  </si>
  <si>
    <t>CALIDAD DEL SERVICIO</t>
  </si>
  <si>
    <t xml:space="preserve">COMUNICACIÓN CLIENTE INTERNO </t>
  </si>
  <si>
    <t>PROCEDIMIENTOS ADMINISTRATIVOS, MANEJO DE PLATAFORMAD DE  VIATICOS)</t>
  </si>
  <si>
    <t>MANEJO DE INVENTARIO</t>
  </si>
  <si>
    <t xml:space="preserve">MANEJO DE LA PLATAFORMA DE ODS </t>
  </si>
  <si>
    <t>PROCEDIMIENTOS ADMINISTRATIVOS (CUENTAS DE COBRO - PAGO DE SEGURIDAD SOCIAL)</t>
  </si>
  <si>
    <t xml:space="preserve">CONOCIMIENTOS TECNICOS </t>
  </si>
  <si>
    <t xml:space="preserve">CALIFICACIÓN POR AREA </t>
  </si>
  <si>
    <t xml:space="preserve">CALIFICACION FINAL </t>
  </si>
  <si>
    <t xml:space="preserve">VIATICOS </t>
  </si>
  <si>
    <t>TÉCNICO 2 (EJEMPLO)</t>
  </si>
  <si>
    <t>ESPECIFICACIÓN PARA DESARROLLO — Evaluación de técnicos AD-FR-35 (plantilla tecnico_adfr35)</t>
  </si>
  <si>
    <t>Este archivo es la guía visual y funcional. El prompt de implementación hace referencia a estas hojas. Texto azul = dato que diligencia un usuario; texto negro = fijo o calculado.</t>
  </si>
  <si>
    <t>1. Hojas de este archivo</t>
  </si>
  <si>
    <t>Hoja</t>
  </si>
  <si>
    <t>Para qué sirve</t>
  </si>
  <si>
    <t>Formato individual (PDF)</t>
  </si>
  <si>
    <t>Plantilla vacía. El PDF por técnico debe verse igual a esta hoja, llena.</t>
  </si>
  <si>
    <t>Ejemplo diligenciado</t>
  </si>
  <si>
    <t>La misma hoja con datos de ejemplo: referencia visual del PDF final.</t>
  </si>
  <si>
    <t>Consolidado semestral</t>
  </si>
  <si>
    <t>Formato original de gerencia (todos los técnicos de un periodo). Export opcional en Excel.</t>
  </si>
  <si>
    <t>Especificación</t>
  </si>
  <si>
    <t>Esta hoja: reglas, IDs y mapeo de campos.</t>
  </si>
  <si>
    <t>2. Ítems de la plantilla (IDs exactos, se usan como claves del JSON de respuestas)</t>
  </si>
  <si>
    <t>ID</t>
  </si>
  <si>
    <t>Texto del criterio</t>
  </si>
  <si>
    <t>Sección (tarjeta en la UI)</t>
  </si>
  <si>
    <t>Columna en consolidado</t>
  </si>
  <si>
    <t>D15</t>
  </si>
  <si>
    <t>E15</t>
  </si>
  <si>
    <t>F15</t>
  </si>
  <si>
    <t>G15</t>
  </si>
  <si>
    <t>H15</t>
  </si>
  <si>
    <t>I15</t>
  </si>
  <si>
    <t>J15</t>
  </si>
  <si>
    <t>K15</t>
  </si>
  <si>
    <t>L15</t>
  </si>
  <si>
    <t>M15</t>
  </si>
  <si>
    <t>N15</t>
  </si>
  <si>
    <t>3. Escala</t>
  </si>
  <si>
    <t>Valor</t>
  </si>
  <si>
    <t>Etiqueta</t>
  </si>
  <si>
    <t>¿Promedia?</t>
  </si>
  <si>
    <t>Sí</t>
  </si>
  <si>
    <t>No aplica (cuenta como respondido)</t>
  </si>
  <si>
    <t>No</t>
  </si>
  <si>
    <t>4. Capas (las 3 se califican en paralelo sobre los mismos 11 criterios)</t>
  </si>
  <si>
    <t>Código</t>
  </si>
  <si>
    <t>Etiqueta en formato</t>
  </si>
  <si>
    <t>Quién la diligencia</t>
  </si>
  <si>
    <t>Qué puede ver</t>
  </si>
  <si>
    <t>auto</t>
  </si>
  <si>
    <t>El técnico evaluado</t>
  </si>
  <si>
    <t>Solo su capa. El resto, cuando el estado es completado.</t>
  </si>
  <si>
    <t>viaticos</t>
  </si>
  <si>
    <t>Evaluadora configurada para la capa viáticos (por definir; NO hardcodear)</t>
  </si>
  <si>
    <t>Solo su capa</t>
  </si>
  <si>
    <t>asistente_oper</t>
  </si>
  <si>
    <t>Evaluadora configurada para la capa asistente operativa (por definir; NO hardcodear)</t>
  </si>
  <si>
    <t>(cierre)</t>
  </si>
  <si>
    <t>Pilar Aristizabal Gil (superadmin / directora administrativa)</t>
  </si>
  <si>
    <t>Todas las capas en todo momento</t>
  </si>
  <si>
    <t>5. Cálculos</t>
  </si>
  <si>
    <t>Dato</t>
  </si>
  <si>
    <t>Regla</t>
  </si>
  <si>
    <t>Celda en formato individual</t>
  </si>
  <si>
    <t>Promedio criterio</t>
  </si>
  <si>
    <t>Promedio de las capas con número en ese ítem (ignora N/A)</t>
  </si>
  <si>
    <t>G:H por fila</t>
  </si>
  <si>
    <t>Calificación por área</t>
  </si>
  <si>
    <t>Promedio de los ítems numéricos de la capa (ignora N/A). Si la capa es toda N/A → no se puede enviar.</t>
  </si>
  <si>
    <t>D36:F36</t>
  </si>
  <si>
    <t>Calificación final</t>
  </si>
  <si>
    <t>Promedio de las 3 calificaciones por área (promedio de promedios, como el AD-FR-35)</t>
  </si>
  <si>
    <t>D37</t>
  </si>
  <si>
    <t>Porcentaje</t>
  </si>
  <si>
    <t>Calificación final ÷ 4</t>
  </si>
  <si>
    <t>D38</t>
  </si>
  <si>
    <t>Nivel</t>
  </si>
  <si>
    <t>&gt;=100% MUY BUENO · &gt;=70% BUENO · &gt;=40% ACEPTABLE · &lt;40% DEFICIENTE</t>
  </si>
  <si>
    <t>D39</t>
  </si>
  <si>
    <t>Resultado</t>
  </si>
  <si>
    <t>APRUEBA si calificación final &gt;= 3; si no, NO APRUEBA</t>
  </si>
  <si>
    <t>D40</t>
  </si>
  <si>
    <t>Redondeo</t>
  </si>
  <si>
    <t>Guardar sin redondear; mostrar con 2 decimales</t>
  </si>
  <si>
    <t>—</t>
  </si>
  <si>
    <t>6. Estados</t>
  </si>
  <si>
    <t>Estado</t>
  </si>
  <si>
    <t>Significado</t>
  </si>
  <si>
    <t>pendiente</t>
  </si>
  <si>
    <t>Periodo abierto; ninguna capa enviada</t>
  </si>
  <si>
    <t>en_evaluacion</t>
  </si>
  <si>
    <t>Al menos una capa enviada, faltan otras</t>
  </si>
  <si>
    <t>listo_para_cierre</t>
  </si>
  <si>
    <t>Las 3 capas enviadas; espera a Pilar</t>
  </si>
  <si>
    <t>completado</t>
  </si>
  <si>
    <t>Pilar escribió observación final y cerró. Se habilitan compromisos (módulo independiente, sin cambios)</t>
  </si>
  <si>
    <t>7. Mapeo de campos → formato individual</t>
  </si>
  <si>
    <t>Campo</t>
  </si>
  <si>
    <t>Origen en el sistema</t>
  </si>
  <si>
    <t>Celda</t>
  </si>
  <si>
    <t>Técnico contratista</t>
  </si>
  <si>
    <t>Nombre del usuario evaluado</t>
  </si>
  <si>
    <t>C7</t>
  </si>
  <si>
    <t>Periodo de evaluación</t>
  </si>
  <si>
    <t>Periodo de la evaluación (ej. SEGUNDO SEMESTRE 2026)</t>
  </si>
  <si>
    <t>F7</t>
  </si>
  <si>
    <t>Evaluador / Cargo</t>
  </si>
  <si>
    <t>Fijo: PILAR ARISTIZABAL GIL / Directora Administrativa</t>
  </si>
  <si>
    <t>C8 / F8</t>
  </si>
  <si>
    <t>Fecha de evaluación</t>
  </si>
  <si>
    <t>Fecha COT del cierre por Pilar</t>
  </si>
  <si>
    <t>C9</t>
  </si>
  <si>
    <t>Estado de la evaluación</t>
  </si>
  <si>
    <t>F9</t>
  </si>
  <si>
    <t>Calificaciones</t>
  </si>
  <si>
    <t>respuestas[capa][item_id] (1-4 o N/A)</t>
  </si>
  <si>
    <t>D23:F35</t>
  </si>
  <si>
    <t>Observaciones por capa</t>
  </si>
  <si>
    <t>observacion de cada capa (una por capa, opcional)</t>
  </si>
  <si>
    <t>C43:C45</t>
  </si>
  <si>
    <t>Observación final</t>
  </si>
  <si>
    <t>observacion_final de Pilar (obligatoria para cerrar)</t>
  </si>
  <si>
    <t>C46</t>
  </si>
  <si>
    <t>Firmas</t>
  </si>
  <si>
    <t>Nombre + fecha/hora COT de envío (técnico) y de cierre (Pilar)</t>
  </si>
  <si>
    <t>Bloque de firmas</t>
  </si>
  <si>
    <t>Leyenda de diligenciamiento</t>
  </si>
  <si>
    <t>• Celdas que se diligencian: calificaciones D:F (lista 1, 2, 3, 4, N/A), observaciones por capa y observación final.</t>
  </si>
  <si>
    <t>• Todo lo demás es fijo (encabezado, escala) o calculado (promedios, porcentaje, nivel, resultado).</t>
  </si>
  <si>
    <t>• La hoja 'Ejemplo diligenciado' muestra el formato esperado de cada dato.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</si>
</sst>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"/>
    <numFmt numFmtId="165" formatCode="0.0%"/>
    <numFmt numFmtId="166" formatCode="[$-C0A]mmm\-yy;@"/>
    <numFmt numFmtId="167" formatCode="m/d/yyyy"/>
  </numFmts>
  <fonts count="33" x14ac:knownFonts="1">
    <font>
      <sz val="10"/>
      <name val="Arial"/>
      <family val="2"/>
      <charset val="1"/>
    </font>
    <font>
      <sz val="10"/>
      <color rgb="FF000000"/>
      <name val="Arial"/>
      <charset val="1"/>
    </font>
    <font>
      <b/>
      <sz val="14"/>
      <color rgb="FF000000"/>
      <name val="Arial"/>
      <charset val="1"/>
    </font>
    <font>
      <sz val="8"/>
      <color rgb="FF000000"/>
      <name val="Arial"/>
      <charset val="1"/>
    </font>
    <font>
      <b/>
      <sz val="8"/>
      <color rgb="FF000000"/>
      <name val="Arial"/>
      <charset val="1"/>
    </font>
    <font>
      <b/>
      <sz val="9"/>
      <color rgb="FF000000"/>
      <name val="Arial"/>
      <charset val="1"/>
    </font>
    <font>
      <sz val="7"/>
      <color rgb="FF000000"/>
      <name val="Arial"/>
      <charset val="1"/>
    </font>
    <font>
      <sz val="9"/>
      <color rgb="FF000000"/>
      <name val="Arial"/>
      <charset val="1"/>
    </font>
    <font>
      <sz val="10"/>
      <color rgb="FF0000FF"/>
      <name val="Arial"/>
      <charset val="1"/>
    </font>
    <font>
      <b/>
      <sz val="10"/>
      <color rgb="FF000000"/>
      <name val="Arial"/>
      <charset val="1"/>
    </font>
    <font>
      <b/>
      <sz val="12"/>
      <color rgb="FF000000"/>
      <name val="Arial"/>
      <charset val="1"/>
    </font>
    <font>
      <sz val="9"/>
      <color rgb="FF0000FF"/>
      <name val="Arial"/>
      <charset val="1"/>
    </font>
    <font>
      <i/>
      <sz val="8"/>
      <color rgb="FF000000"/>
      <name val="Arial"/>
      <charset val="1"/>
    </font>
    <font>
      <sz val="9"/>
      <name val="Arial"/>
      <family val="2"/>
      <charset val="1"/>
    </font>
    <font>
      <sz val="8"/>
      <name val="Arial"/>
      <family val="2"/>
      <charset val="1"/>
    </font>
    <font>
      <sz val="8"/>
      <color rgb="FFFF0000"/>
      <name val="Arial"/>
      <family val="2"/>
      <charset val="1"/>
    </font>
    <font>
      <sz val="9"/>
      <color rgb="FFFF0000"/>
      <name val="Arial"/>
      <family val="2"/>
      <charset val="1"/>
    </font>
    <font>
      <b/>
      <sz val="14"/>
      <color theme="1"/>
      <name val="Arial"/>
      <family val="2"/>
      <charset val="1"/>
    </font>
    <font>
      <sz val="7"/>
      <name val="Arial"/>
      <family val="2"/>
      <charset val="1"/>
    </font>
    <font>
      <b/>
      <sz val="8"/>
      <color rgb="FF333399"/>
      <name val="Arial"/>
      <family val="2"/>
      <charset val="1"/>
    </font>
    <font>
      <b/>
      <sz val="14"/>
      <color rgb="FF333399"/>
      <name val="Arial"/>
      <family val="2"/>
      <charset val="1"/>
    </font>
    <font>
      <b/>
      <sz val="10"/>
      <name val="Arial"/>
      <family val="2"/>
      <charset val="1"/>
    </font>
    <font>
      <sz val="7"/>
      <color rgb="FFFF0000"/>
      <name val="Arial"/>
      <family val="2"/>
      <charset val="1"/>
    </font>
    <font>
      <b/>
      <sz val="9"/>
      <name val="Arial"/>
      <family val="2"/>
      <charset val="1"/>
    </font>
    <font>
      <b/>
      <sz val="10"/>
      <color theme="1"/>
      <name val="Arial"/>
      <family val="2"/>
      <charset val="1"/>
    </font>
    <font>
      <sz val="12"/>
      <name val="Arial"/>
      <family val="2"/>
      <charset val="1"/>
    </font>
    <font>
      <b/>
      <sz val="14"/>
      <name val="Arial"/>
      <family val="2"/>
      <charset val="1"/>
    </font>
    <font>
      <sz val="10"/>
      <color theme="1"/>
      <name val="Arial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</font>
    <font>
      <b/>
      <sz val="13"/>
      <color rgb="FF000000"/>
      <name val="Arial"/>
      <charset val="1"/>
    </font>
    <font>
      <i/>
      <sz val="9"/>
      <color rgb="FF000000"/>
      <name val="Arial"/>
      <charset val="1"/>
    </font>
    <font>
      <b/>
      <sz val="11"/>
      <color rgb="FF000000"/>
      <name val="Arial"/>
      <charset val="1"/>
    </font>
  </fonts>
  <fills count="12">
    <fill>
      <patternFill patternType="none"/>
    </fill>
    <fill>
      <patternFill patternType="gray125"/>
    </fill>
    <fill>
      <patternFill patternType="solid">
        <fgColor rgb="FF8EAADB"/>
        <bgColor rgb="FF8FAADC"/>
      </patternFill>
    </fill>
    <fill>
      <patternFill patternType="solid">
        <fgColor rgb="FFD9E1F2"/>
        <bgColor rgb="FFE2F0D9"/>
      </patternFill>
    </fill>
    <fill>
      <patternFill patternType="solid">
        <fgColor rgb="FFF2F2F2"/>
        <bgColor rgb="FFE2F0D9"/>
      </patternFill>
    </fill>
    <fill>
      <patternFill patternType="solid">
        <fgColor rgb="FFFFFFFF"/>
        <bgColor rgb="FFF2F2F2"/>
      </patternFill>
    </fill>
    <fill>
      <patternFill patternType="solid">
        <fgColor theme="4" tint="0.39988402966399123"/>
        <bgColor rgb="FF8EAADB"/>
      </patternFill>
    </fill>
    <fill>
      <patternFill patternType="solid">
        <fgColor theme="9" tint="0.39988402966399123"/>
        <bgColor rgb="FFC5E0B4"/>
      </patternFill>
    </fill>
    <fill>
      <patternFill patternType="solid">
        <fgColor theme="9" tint="0.79989013336588644"/>
        <bgColor rgb="FFF2F2F2"/>
      </patternFill>
    </fill>
    <fill>
      <patternFill patternType="solid">
        <fgColor theme="9" tint="-0.249977111117893"/>
        <bgColor rgb="FF339966"/>
      </patternFill>
    </fill>
    <fill>
      <patternFill patternType="solid">
        <fgColor rgb="FFFFFF00"/>
        <bgColor rgb="FFFFFF00"/>
      </patternFill>
    </fill>
    <fill>
      <patternFill patternType="solid">
        <fgColor theme="9" tint="0.59987182226020086"/>
        <bgColor rgb="FFA9D18E"/>
      </patternFill>
    </fill>
  </fills>
  <borders count="2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/>
      <diagonal/>
    </border>
  </borders>
  <cellStyleXfs count="1">
    <xf numFmtId="0" fontId="0" fillId="0" borderId="0"/>
  </cellStyleXfs>
  <cellXfs count="137">
    <xf numFmtId="0" fontId="0" fillId="0" borderId="0" xfId="0"/>
    <xf numFmtId="165" fontId="9" fillId="4" borderId="1" xfId="0" applyNumberFormat="1" applyFont="1" applyFill="1" applyBorder="1" applyAlignment="1">
      <alignment horizontal="center" vertical="center" wrapText="1"/>
    </xf>
    <xf numFmtId="2" fontId="10" fillId="4" borderId="1" xfId="0" applyNumberFormat="1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2" fontId="1" fillId="0" borderId="1" xfId="0" applyNumberFormat="1" applyFont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4" fillId="0" borderId="0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0" xfId="0" applyFont="1"/>
    <xf numFmtId="0" fontId="3" fillId="0" borderId="1" xfId="0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164" fontId="1" fillId="0" borderId="1" xfId="0" applyNumberFormat="1" applyFont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0" xfId="0" applyFont="1"/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2" fontId="9" fillId="4" borderId="1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8" fillId="0" borderId="1" xfId="0" applyFont="1" applyBorder="1" applyAlignment="1">
      <alignment horizontal="left" vertical="center" wrapText="1"/>
    </xf>
    <xf numFmtId="164" fontId="8" fillId="0" borderId="1" xfId="0" applyNumberFormat="1" applyFont="1" applyBorder="1" applyAlignment="1">
      <alignment horizontal="left" vertical="center" wrapText="1"/>
    </xf>
    <xf numFmtId="0" fontId="13" fillId="0" borderId="0" xfId="0" applyFont="1"/>
    <xf numFmtId="0" fontId="14" fillId="0" borderId="0" xfId="0" applyFont="1"/>
    <xf numFmtId="0" fontId="13" fillId="0" borderId="0" xfId="0" applyFont="1" applyAlignment="1">
      <alignment horizontal="center"/>
    </xf>
    <xf numFmtId="2" fontId="13" fillId="0" borderId="0" xfId="0" applyNumberFormat="1" applyFont="1"/>
    <xf numFmtId="0" fontId="15" fillId="0" borderId="0" xfId="0" applyFont="1" applyAlignment="1">
      <alignment wrapText="1"/>
    </xf>
    <xf numFmtId="0" fontId="16" fillId="0" borderId="0" xfId="0" applyFont="1" applyAlignment="1">
      <alignment wrapText="1"/>
    </xf>
    <xf numFmtId="2" fontId="13" fillId="0" borderId="0" xfId="0" applyNumberFormat="1" applyFont="1" applyAlignment="1">
      <alignment horizontal="center"/>
    </xf>
    <xf numFmtId="2" fontId="13" fillId="0" borderId="3" xfId="0" applyNumberFormat="1" applyFont="1" applyBorder="1" applyAlignment="1">
      <alignment horizontal="center"/>
    </xf>
    <xf numFmtId="0" fontId="13" fillId="0" borderId="4" xfId="0" applyFont="1" applyBorder="1" applyAlignment="1">
      <alignment horizontal="center"/>
    </xf>
    <xf numFmtId="0" fontId="18" fillId="0" borderId="0" xfId="0" applyFont="1" applyAlignment="1">
      <alignment horizontal="center"/>
    </xf>
    <xf numFmtId="0" fontId="13" fillId="5" borderId="5" xfId="0" applyFont="1" applyFill="1" applyBorder="1" applyAlignment="1">
      <alignment horizontal="center" vertical="center"/>
    </xf>
    <xf numFmtId="0" fontId="13" fillId="0" borderId="6" xfId="0" applyFont="1" applyBorder="1" applyAlignment="1">
      <alignment horizontal="center"/>
    </xf>
    <xf numFmtId="166" fontId="13" fillId="0" borderId="7" xfId="0" applyNumberFormat="1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0" fontId="19" fillId="0" borderId="0" xfId="0" applyFont="1" applyAlignment="1">
      <alignment horizontal="center" wrapText="1"/>
    </xf>
    <xf numFmtId="0" fontId="20" fillId="0" borderId="0" xfId="0" applyFont="1" applyAlignment="1">
      <alignment horizontal="center" wrapText="1"/>
    </xf>
    <xf numFmtId="2" fontId="20" fillId="0" borderId="0" xfId="0" applyNumberFormat="1" applyFont="1" applyAlignment="1">
      <alignment horizontal="center" wrapText="1"/>
    </xf>
    <xf numFmtId="0" fontId="21" fillId="6" borderId="8" xfId="0" applyFont="1" applyFill="1" applyBorder="1" applyAlignment="1">
      <alignment horizontal="center"/>
    </xf>
    <xf numFmtId="0" fontId="21" fillId="6" borderId="9" xfId="0" applyFont="1" applyFill="1" applyBorder="1" applyAlignment="1">
      <alignment horizontal="center"/>
    </xf>
    <xf numFmtId="0" fontId="21" fillId="6" borderId="10" xfId="0" applyFont="1" applyFill="1" applyBorder="1" applyAlignment="1">
      <alignment horizontal="center" wrapText="1"/>
    </xf>
    <xf numFmtId="0" fontId="21" fillId="6" borderId="1" xfId="0" applyFont="1" applyFill="1" applyBorder="1" applyAlignment="1">
      <alignment horizontal="center"/>
    </xf>
    <xf numFmtId="0" fontId="21" fillId="6" borderId="0" xfId="0" applyFont="1" applyFill="1" applyAlignment="1">
      <alignment horizontal="center"/>
    </xf>
    <xf numFmtId="0" fontId="21" fillId="0" borderId="0" xfId="0" applyFont="1" applyAlignment="1">
      <alignment horizontal="center"/>
    </xf>
    <xf numFmtId="0" fontId="21" fillId="5" borderId="0" xfId="0" applyFont="1" applyFill="1" applyAlignment="1">
      <alignment horizontal="center"/>
    </xf>
    <xf numFmtId="0" fontId="13" fillId="0" borderId="2" xfId="0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0" xfId="0" applyFont="1" applyAlignment="1">
      <alignment horizontal="center" wrapText="1"/>
    </xf>
    <xf numFmtId="2" fontId="0" fillId="0" borderId="0" xfId="0" applyNumberFormat="1" applyFont="1"/>
    <xf numFmtId="0" fontId="0" fillId="0" borderId="0" xfId="0" applyFont="1" applyAlignment="1">
      <alignment horizontal="left" wrapText="1"/>
    </xf>
    <xf numFmtId="0" fontId="14" fillId="0" borderId="0" xfId="0" applyFont="1" applyAlignment="1">
      <alignment horizontal="center"/>
    </xf>
    <xf numFmtId="0" fontId="22" fillId="0" borderId="0" xfId="0" applyFont="1" applyAlignment="1">
      <alignment wrapText="1"/>
    </xf>
    <xf numFmtId="2" fontId="14" fillId="0" borderId="0" xfId="0" applyNumberFormat="1" applyFont="1" applyAlignment="1">
      <alignment horizontal="center"/>
    </xf>
    <xf numFmtId="0" fontId="23" fillId="0" borderId="0" xfId="0" applyFont="1"/>
    <xf numFmtId="0" fontId="24" fillId="6" borderId="2" xfId="0" applyFont="1" applyFill="1" applyBorder="1" applyAlignment="1">
      <alignment horizontal="center" vertical="center" wrapText="1"/>
    </xf>
    <xf numFmtId="2" fontId="24" fillId="6" borderId="4" xfId="0" applyNumberFormat="1" applyFont="1" applyFill="1" applyBorder="1" applyAlignment="1">
      <alignment horizontal="center" vertical="center" wrapText="1"/>
    </xf>
    <xf numFmtId="0" fontId="24" fillId="6" borderId="4" xfId="0" applyFont="1" applyFill="1" applyBorder="1" applyAlignment="1">
      <alignment horizontal="center" vertical="center" wrapText="1"/>
    </xf>
    <xf numFmtId="0" fontId="24" fillId="6" borderId="4" xfId="0" applyFont="1" applyFill="1" applyBorder="1" applyAlignment="1">
      <alignment horizontal="center" vertical="center"/>
    </xf>
    <xf numFmtId="0" fontId="14" fillId="0" borderId="8" xfId="0" applyFont="1" applyBorder="1" applyAlignment="1">
      <alignment horizontal="center" vertical="center" wrapText="1"/>
    </xf>
    <xf numFmtId="0" fontId="8" fillId="0" borderId="12" xfId="0" applyFont="1" applyBorder="1" applyAlignment="1">
      <alignment horizontal="center" vertical="center" wrapText="1"/>
    </xf>
    <xf numFmtId="0" fontId="8" fillId="0" borderId="13" xfId="0" applyFont="1" applyBorder="1" applyAlignment="1">
      <alignment horizontal="center" vertical="center" wrapText="1"/>
    </xf>
    <xf numFmtId="0" fontId="8" fillId="0" borderId="14" xfId="0" applyFont="1" applyBorder="1" applyAlignment="1">
      <alignment horizontal="center" vertical="center" wrapText="1"/>
    </xf>
    <xf numFmtId="2" fontId="24" fillId="0" borderId="1" xfId="0" applyNumberFormat="1" applyFont="1" applyBorder="1" applyAlignment="1">
      <alignment horizontal="center" vertical="center"/>
    </xf>
    <xf numFmtId="0" fontId="14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14" fillId="0" borderId="1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wrapText="1"/>
    </xf>
    <xf numFmtId="2" fontId="24" fillId="0" borderId="17" xfId="0" applyNumberFormat="1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 wrapText="1"/>
    </xf>
    <xf numFmtId="0" fontId="8" fillId="0" borderId="21" xfId="0" applyFont="1" applyBorder="1" applyAlignment="1">
      <alignment horizontal="center" vertical="center" wrapText="1"/>
    </xf>
    <xf numFmtId="0" fontId="8" fillId="0" borderId="22" xfId="0" applyFont="1" applyBorder="1" applyAlignment="1">
      <alignment horizontal="center" vertical="center" wrapText="1"/>
    </xf>
    <xf numFmtId="0" fontId="8" fillId="0" borderId="23" xfId="0" applyFont="1" applyBorder="1" applyAlignment="1">
      <alignment horizontal="center" vertical="center" wrapText="1"/>
    </xf>
    <xf numFmtId="0" fontId="8" fillId="0" borderId="24" xfId="0" applyFont="1" applyBorder="1" applyAlignment="1">
      <alignment horizontal="center" vertical="center" wrapText="1"/>
    </xf>
    <xf numFmtId="0" fontId="27" fillId="0" borderId="19" xfId="0" applyFont="1" applyBorder="1" applyAlignment="1">
      <alignment horizontal="center" vertical="center" wrapText="1"/>
    </xf>
    <xf numFmtId="0" fontId="27" fillId="0" borderId="12" xfId="0" applyFont="1" applyBorder="1" applyAlignment="1">
      <alignment horizontal="center" vertical="center"/>
    </xf>
    <xf numFmtId="0" fontId="27" fillId="0" borderId="13" xfId="0" applyFont="1" applyBorder="1" applyAlignment="1">
      <alignment horizontal="center" vertical="center"/>
    </xf>
    <xf numFmtId="0" fontId="27" fillId="0" borderId="14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20" xfId="0" applyFont="1" applyBorder="1" applyAlignment="1">
      <alignment horizontal="center" vertical="center" wrapText="1"/>
    </xf>
    <xf numFmtId="0" fontId="27" fillId="0" borderId="1" xfId="0" applyFont="1" applyBorder="1" applyAlignment="1">
      <alignment horizontal="center" vertical="center"/>
    </xf>
    <xf numFmtId="0" fontId="27" fillId="0" borderId="21" xfId="0" applyFont="1" applyBorder="1" applyAlignment="1">
      <alignment horizontal="center" vertical="center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/>
    </xf>
    <xf numFmtId="0" fontId="27" fillId="0" borderId="24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27" fillId="0" borderId="25" xfId="0" applyFont="1" applyBorder="1" applyAlignment="1">
      <alignment horizontal="center" vertical="center" wrapText="1"/>
    </xf>
    <xf numFmtId="0" fontId="27" fillId="0" borderId="25" xfId="0" applyFont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 wrapText="1"/>
    </xf>
    <xf numFmtId="0" fontId="14" fillId="0" borderId="26" xfId="0" applyFont="1" applyBorder="1"/>
    <xf numFmtId="0" fontId="25" fillId="0" borderId="0" xfId="0" applyFont="1" applyAlignment="1">
      <alignment vertical="center" wrapText="1"/>
    </xf>
    <xf numFmtId="2" fontId="14" fillId="0" borderId="0" xfId="0" applyNumberFormat="1" applyFont="1"/>
    <xf numFmtId="0" fontId="30" fillId="0" borderId="0" xfId="0" applyFont="1"/>
    <xf numFmtId="0" fontId="32" fillId="0" borderId="0" xfId="0" applyFont="1"/>
    <xf numFmtId="0" fontId="7" fillId="0" borderId="0" xfId="0" applyFont="1"/>
    <xf numFmtId="0" fontId="9" fillId="4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top" wrapText="1"/>
    </xf>
    <xf numFmtId="0" fontId="11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/>
    </xf>
    <xf numFmtId="0" fontId="17" fillId="0" borderId="2" xfId="0" applyFont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/>
    </xf>
    <xf numFmtId="2" fontId="0" fillId="6" borderId="1" xfId="0" applyNumberFormat="1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167" fontId="0" fillId="0" borderId="1" xfId="0" applyNumberFormat="1" applyFont="1" applyBorder="1" applyAlignment="1">
      <alignment horizontal="center" vertical="center" wrapText="1"/>
    </xf>
    <xf numFmtId="0" fontId="0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horizontal="left"/>
    </xf>
    <xf numFmtId="0" fontId="0" fillId="0" borderId="1" xfId="0" applyFont="1" applyBorder="1" applyAlignment="1">
      <alignment horizontal="center" vertical="center" wrapText="1"/>
    </xf>
    <xf numFmtId="0" fontId="24" fillId="6" borderId="2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/>
    </xf>
    <xf numFmtId="2" fontId="26" fillId="7" borderId="15" xfId="0" applyNumberFormat="1" applyFont="1" applyFill="1" applyBorder="1" applyAlignment="1">
      <alignment horizontal="center" vertical="center"/>
    </xf>
    <xf numFmtId="0" fontId="27" fillId="5" borderId="8" xfId="0" applyFont="1" applyFill="1" applyBorder="1" applyAlignment="1">
      <alignment horizontal="left" vertical="center" wrapText="1"/>
    </xf>
    <xf numFmtId="2" fontId="26" fillId="8" borderId="15" xfId="0" applyNumberFormat="1" applyFont="1" applyFill="1" applyBorder="1" applyAlignment="1">
      <alignment horizontal="center" vertical="center"/>
    </xf>
    <xf numFmtId="0" fontId="27" fillId="5" borderId="16" xfId="0" applyFont="1" applyFill="1" applyBorder="1" applyAlignment="1">
      <alignment horizontal="center" vertical="center" wrapText="1"/>
    </xf>
    <xf numFmtId="2" fontId="26" fillId="9" borderId="15" xfId="0" applyNumberFormat="1" applyFont="1" applyFill="1" applyBorder="1" applyAlignment="1">
      <alignment horizontal="center" vertical="center"/>
    </xf>
    <xf numFmtId="2" fontId="26" fillId="10" borderId="15" xfId="0" applyNumberFormat="1" applyFont="1" applyFill="1" applyBorder="1" applyAlignment="1">
      <alignment horizontal="center" vertical="center"/>
    </xf>
    <xf numFmtId="2" fontId="26" fillId="11" borderId="15" xfId="0" applyNumberFormat="1" applyFont="1" applyFill="1" applyBorder="1" applyAlignment="1">
      <alignment horizontal="center" vertical="center"/>
    </xf>
    <xf numFmtId="0" fontId="25" fillId="0" borderId="2" xfId="0" applyFont="1" applyBorder="1" applyAlignment="1">
      <alignment horizontal="center" vertical="center"/>
    </xf>
    <xf numFmtId="0" fontId="28" fillId="6" borderId="2" xfId="0" applyFont="1" applyFill="1" applyBorder="1" applyAlignment="1">
      <alignment horizontal="center" vertical="center"/>
    </xf>
    <xf numFmtId="0" fontId="25" fillId="0" borderId="5" xfId="0" applyFont="1" applyBorder="1" applyAlignment="1">
      <alignment horizontal="center" vertical="center" wrapText="1"/>
    </xf>
    <xf numFmtId="0" fontId="31" fillId="0" borderId="0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A9D18E"/>
      <rgbColor rgb="FF808080"/>
      <rgbColor rgb="FF8FAADC"/>
      <rgbColor rgb="FF993366"/>
      <rgbColor rgb="FFF2F2F2"/>
      <rgbColor rgb="FFC5E0B4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8EAADB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628200</xdr:colOff>
      <xdr:row>3</xdr:row>
      <xdr:rowOff>218880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41120" y="190440"/>
          <a:ext cx="628200" cy="7236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628200</xdr:colOff>
      <xdr:row>3</xdr:row>
      <xdr:rowOff>218880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41120" y="190440"/>
          <a:ext cx="628200" cy="7236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518760</xdr:colOff>
      <xdr:row>1</xdr:row>
      <xdr:rowOff>180000</xdr:rowOff>
    </xdr:from>
    <xdr:to>
      <xdr:col>1</xdr:col>
      <xdr:colOff>1174680</xdr:colOff>
      <xdr:row>4</xdr:row>
      <xdr:rowOff>230760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70440" y="227520"/>
          <a:ext cx="655920" cy="76536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 2013 - 2022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H51"/>
  <sheetViews>
    <sheetView showGridLines="0" tabSelected="1" zoomScale="85" zoomScaleNormal="85" workbookViewId="0">
      <selection activeCell="C46" sqref="C46:H46"/>
    </sheetView>
  </sheetViews>
  <sheetFormatPr baseColWidth="10" defaultColWidth="8.69921875" defaultRowHeight="12.75" x14ac:dyDescent="0.25"/>
  <cols>
    <col min="1" max="1" width="2" style="15" customWidth="1"/>
    <col min="2" max="2" width="15" style="15" customWidth="1"/>
    <col min="3" max="3" width="46" style="15" customWidth="1"/>
    <col min="4" max="5" width="13" style="15" customWidth="1"/>
    <col min="6" max="6" width="15" style="15" customWidth="1"/>
    <col min="7" max="8" width="11" style="15" customWidth="1"/>
  </cols>
  <sheetData>
    <row r="2" spans="2:8" ht="18" customHeight="1" x14ac:dyDescent="0.25">
      <c r="B2" s="14"/>
      <c r="C2" s="13" t="s">
        <v>0</v>
      </c>
      <c r="D2" s="13"/>
      <c r="E2" s="13"/>
      <c r="F2" s="13"/>
      <c r="G2" s="16" t="s">
        <v>1</v>
      </c>
      <c r="H2" s="16" t="s">
        <v>2</v>
      </c>
    </row>
    <row r="3" spans="2:8" ht="21.75" customHeight="1" x14ac:dyDescent="0.25">
      <c r="B3" s="14"/>
      <c r="C3" s="13"/>
      <c r="D3" s="13"/>
      <c r="E3" s="13"/>
      <c r="F3" s="13"/>
      <c r="G3" s="16" t="s">
        <v>3</v>
      </c>
      <c r="H3" s="16">
        <v>2</v>
      </c>
    </row>
    <row r="4" spans="2:8" ht="18" customHeight="1" x14ac:dyDescent="0.25">
      <c r="B4" s="14"/>
      <c r="C4" s="13" t="s">
        <v>4</v>
      </c>
      <c r="D4" s="13"/>
      <c r="E4" s="13"/>
      <c r="F4" s="13"/>
      <c r="G4" s="16" t="s">
        <v>5</v>
      </c>
      <c r="H4" s="16" t="s">
        <v>6</v>
      </c>
    </row>
    <row r="5" spans="2:8" ht="21.75" customHeight="1" x14ac:dyDescent="0.25">
      <c r="B5" s="14"/>
      <c r="C5" s="13"/>
      <c r="D5" s="13"/>
      <c r="E5" s="13"/>
      <c r="F5" s="13"/>
      <c r="G5" s="17">
        <v>46030</v>
      </c>
      <c r="H5" s="16">
        <v>1</v>
      </c>
    </row>
    <row r="7" spans="2:8" ht="19.55" customHeight="1" x14ac:dyDescent="0.25">
      <c r="B7" s="18" t="s">
        <v>7</v>
      </c>
      <c r="C7" s="19"/>
      <c r="D7" s="12" t="s">
        <v>8</v>
      </c>
      <c r="E7" s="12"/>
      <c r="F7" s="14"/>
      <c r="G7" s="14"/>
      <c r="H7" s="14"/>
    </row>
    <row r="8" spans="2:8" ht="19.55" customHeight="1" x14ac:dyDescent="0.25">
      <c r="B8" s="18" t="s">
        <v>9</v>
      </c>
      <c r="C8" s="19" t="s">
        <v>10</v>
      </c>
      <c r="D8" s="12" t="s">
        <v>11</v>
      </c>
      <c r="E8" s="12"/>
      <c r="F8" s="14" t="s">
        <v>12</v>
      </c>
      <c r="G8" s="14"/>
      <c r="H8" s="14"/>
    </row>
    <row r="9" spans="2:8" ht="19.55" customHeight="1" x14ac:dyDescent="0.25">
      <c r="B9" s="18" t="s">
        <v>13</v>
      </c>
      <c r="C9" s="20"/>
      <c r="D9" s="12" t="s">
        <v>14</v>
      </c>
      <c r="E9" s="12"/>
      <c r="F9" s="14"/>
      <c r="G9" s="14"/>
      <c r="H9" s="14"/>
    </row>
    <row r="11" spans="2:8" ht="14.95" customHeight="1" x14ac:dyDescent="0.25">
      <c r="B11" s="21" t="s">
        <v>15</v>
      </c>
      <c r="C11" s="21" t="s">
        <v>16</v>
      </c>
      <c r="D11" s="11" t="s">
        <v>17</v>
      </c>
      <c r="E11" s="11"/>
      <c r="F11" s="11" t="s">
        <v>18</v>
      </c>
      <c r="G11" s="11"/>
      <c r="H11" s="11"/>
    </row>
    <row r="12" spans="2:8" ht="23.95" customHeight="1" x14ac:dyDescent="0.25">
      <c r="B12" s="16" t="s">
        <v>19</v>
      </c>
      <c r="C12" s="16">
        <v>1</v>
      </c>
      <c r="D12" s="10" t="s">
        <v>20</v>
      </c>
      <c r="E12" s="10"/>
      <c r="F12" s="22" t="s">
        <v>21</v>
      </c>
      <c r="G12" s="9" t="s">
        <v>22</v>
      </c>
      <c r="H12" s="9"/>
    </row>
    <row r="13" spans="2:8" ht="23.95" customHeight="1" x14ac:dyDescent="0.25">
      <c r="B13" s="16" t="s">
        <v>23</v>
      </c>
      <c r="C13" s="16">
        <v>2</v>
      </c>
      <c r="D13" s="10" t="s">
        <v>24</v>
      </c>
      <c r="E13" s="10"/>
      <c r="F13" s="22" t="s">
        <v>25</v>
      </c>
      <c r="G13" s="9" t="s">
        <v>26</v>
      </c>
      <c r="H13" s="9"/>
    </row>
    <row r="14" spans="2:8" ht="23.95" customHeight="1" x14ac:dyDescent="0.25">
      <c r="B14" s="16" t="s">
        <v>27</v>
      </c>
      <c r="C14" s="16">
        <v>3</v>
      </c>
      <c r="D14" s="10" t="s">
        <v>28</v>
      </c>
      <c r="E14" s="10"/>
      <c r="F14" s="22" t="s">
        <v>29</v>
      </c>
      <c r="G14" s="9" t="s">
        <v>30</v>
      </c>
      <c r="H14" s="9"/>
    </row>
    <row r="15" spans="2:8" ht="14.95" customHeight="1" x14ac:dyDescent="0.25">
      <c r="B15" s="16" t="s">
        <v>31</v>
      </c>
      <c r="C15" s="16">
        <v>4</v>
      </c>
      <c r="D15" s="10" t="s">
        <v>32</v>
      </c>
      <c r="E15" s="10"/>
    </row>
    <row r="16" spans="2:8" ht="14.95" customHeight="1" x14ac:dyDescent="0.25">
      <c r="B16" s="16" t="s">
        <v>33</v>
      </c>
      <c r="C16" s="16" t="s">
        <v>34</v>
      </c>
      <c r="D16" s="10" t="s">
        <v>35</v>
      </c>
      <c r="E16" s="10"/>
    </row>
    <row r="18" spans="2:8" x14ac:dyDescent="0.25">
      <c r="B18" s="23" t="s">
        <v>36</v>
      </c>
    </row>
    <row r="19" spans="2:8" ht="23.95" customHeight="1" x14ac:dyDescent="0.25">
      <c r="B19" s="8" t="s">
        <v>37</v>
      </c>
      <c r="C19" s="8"/>
      <c r="D19" s="8"/>
      <c r="E19" s="8"/>
      <c r="F19" s="8"/>
      <c r="G19" s="8"/>
      <c r="H19" s="8"/>
    </row>
    <row r="21" spans="2:8" ht="30.05" customHeight="1" x14ac:dyDescent="0.25">
      <c r="B21" s="11" t="s">
        <v>38</v>
      </c>
      <c r="C21" s="11"/>
      <c r="D21" s="21" t="s">
        <v>21</v>
      </c>
      <c r="E21" s="21" t="s">
        <v>25</v>
      </c>
      <c r="F21" s="21" t="s">
        <v>29</v>
      </c>
      <c r="G21" s="11" t="s">
        <v>39</v>
      </c>
      <c r="H21" s="11"/>
    </row>
    <row r="22" spans="2:8" ht="14.95" customHeight="1" x14ac:dyDescent="0.25">
      <c r="B22" s="7" t="s">
        <v>40</v>
      </c>
      <c r="C22" s="7"/>
      <c r="D22" s="7"/>
      <c r="E22" s="7"/>
      <c r="F22" s="7"/>
      <c r="G22" s="7"/>
      <c r="H22" s="7"/>
    </row>
    <row r="23" spans="2:8" ht="21.75" customHeight="1" x14ac:dyDescent="0.25">
      <c r="B23" s="24" t="s">
        <v>41</v>
      </c>
      <c r="C23" s="25" t="s">
        <v>42</v>
      </c>
      <c r="D23" s="26"/>
      <c r="E23" s="26"/>
      <c r="F23" s="26"/>
      <c r="G23" s="6" t="str">
        <f>IFERROR(AVERAGE(D23:F23),"")</f>
        <v/>
      </c>
      <c r="H23" s="6"/>
    </row>
    <row r="24" spans="2:8" ht="21.75" customHeight="1" x14ac:dyDescent="0.25">
      <c r="B24" s="24" t="s">
        <v>43</v>
      </c>
      <c r="C24" s="25" t="s">
        <v>44</v>
      </c>
      <c r="D24" s="26"/>
      <c r="E24" s="26"/>
      <c r="F24" s="26"/>
      <c r="G24" s="6" t="str">
        <f>IFERROR(AVERAGE(D24:F24),"")</f>
        <v/>
      </c>
      <c r="H24" s="6"/>
    </row>
    <row r="25" spans="2:8" ht="21.75" customHeight="1" x14ac:dyDescent="0.25">
      <c r="B25" s="24" t="s">
        <v>45</v>
      </c>
      <c r="C25" s="25" t="s">
        <v>46</v>
      </c>
      <c r="D25" s="26"/>
      <c r="E25" s="26"/>
      <c r="F25" s="26"/>
      <c r="G25" s="6" t="str">
        <f>IFERROR(AVERAGE(D25:F25),"")</f>
        <v/>
      </c>
      <c r="H25" s="6"/>
    </row>
    <row r="26" spans="2:8" ht="21.75" customHeight="1" x14ac:dyDescent="0.25">
      <c r="B26" s="24" t="s">
        <v>47</v>
      </c>
      <c r="C26" s="25" t="s">
        <v>48</v>
      </c>
      <c r="D26" s="26"/>
      <c r="E26" s="26"/>
      <c r="F26" s="26"/>
      <c r="G26" s="6" t="str">
        <f>IFERROR(AVERAGE(D26:F26),"")</f>
        <v/>
      </c>
      <c r="H26" s="6"/>
    </row>
    <row r="27" spans="2:8" ht="21.75" customHeight="1" x14ac:dyDescent="0.25">
      <c r="B27" s="24" t="s">
        <v>49</v>
      </c>
      <c r="C27" s="25" t="s">
        <v>50</v>
      </c>
      <c r="D27" s="26"/>
      <c r="E27" s="26"/>
      <c r="F27" s="26"/>
      <c r="G27" s="6" t="str">
        <f>IFERROR(AVERAGE(D27:F27),"")</f>
        <v/>
      </c>
      <c r="H27" s="6"/>
    </row>
    <row r="28" spans="2:8" ht="14.95" customHeight="1" x14ac:dyDescent="0.25">
      <c r="B28" s="7" t="s">
        <v>51</v>
      </c>
      <c r="C28" s="7"/>
      <c r="D28" s="7"/>
      <c r="E28" s="7"/>
      <c r="F28" s="7"/>
      <c r="G28" s="7"/>
      <c r="H28" s="7"/>
    </row>
    <row r="29" spans="2:8" ht="21.75" customHeight="1" x14ac:dyDescent="0.25">
      <c r="B29" s="24" t="s">
        <v>52</v>
      </c>
      <c r="C29" s="25" t="s">
        <v>53</v>
      </c>
      <c r="D29" s="26"/>
      <c r="E29" s="26"/>
      <c r="F29" s="26"/>
      <c r="G29" s="6" t="str">
        <f>IFERROR(AVERAGE(D29:F29),"")</f>
        <v/>
      </c>
      <c r="H29" s="6"/>
    </row>
    <row r="30" spans="2:8" ht="30.05" customHeight="1" x14ac:dyDescent="0.25">
      <c r="B30" s="24" t="s">
        <v>54</v>
      </c>
      <c r="C30" s="25" t="s">
        <v>55</v>
      </c>
      <c r="D30" s="26"/>
      <c r="E30" s="26"/>
      <c r="F30" s="26"/>
      <c r="G30" s="6" t="str">
        <f>IFERROR(AVERAGE(D30:F30),"")</f>
        <v/>
      </c>
      <c r="H30" s="6"/>
    </row>
    <row r="31" spans="2:8" ht="21.75" customHeight="1" x14ac:dyDescent="0.25">
      <c r="B31" s="24" t="s">
        <v>56</v>
      </c>
      <c r="C31" s="25" t="s">
        <v>57</v>
      </c>
      <c r="D31" s="26"/>
      <c r="E31" s="26"/>
      <c r="F31" s="26"/>
      <c r="G31" s="6" t="str">
        <f>IFERROR(AVERAGE(D31:F31),"")</f>
        <v/>
      </c>
      <c r="H31" s="6"/>
    </row>
    <row r="32" spans="2:8" ht="21.75" customHeight="1" x14ac:dyDescent="0.25">
      <c r="B32" s="24" t="s">
        <v>58</v>
      </c>
      <c r="C32" s="25" t="s">
        <v>59</v>
      </c>
      <c r="D32" s="26"/>
      <c r="E32" s="26"/>
      <c r="F32" s="26"/>
      <c r="G32" s="6" t="str">
        <f>IFERROR(AVERAGE(D32:F32),"")</f>
        <v/>
      </c>
      <c r="H32" s="6"/>
    </row>
    <row r="33" spans="2:8" ht="30.05" customHeight="1" x14ac:dyDescent="0.25">
      <c r="B33" s="24" t="s">
        <v>60</v>
      </c>
      <c r="C33" s="25" t="s">
        <v>61</v>
      </c>
      <c r="D33" s="26"/>
      <c r="E33" s="26"/>
      <c r="F33" s="26"/>
      <c r="G33" s="6" t="str">
        <f>IFERROR(AVERAGE(D33:F33),"")</f>
        <v/>
      </c>
      <c r="H33" s="6"/>
    </row>
    <row r="34" spans="2:8" ht="14.95" customHeight="1" x14ac:dyDescent="0.25">
      <c r="B34" s="7" t="s">
        <v>62</v>
      </c>
      <c r="C34" s="7"/>
      <c r="D34" s="7"/>
      <c r="E34" s="7"/>
      <c r="F34" s="7"/>
      <c r="G34" s="7"/>
      <c r="H34" s="7"/>
    </row>
    <row r="35" spans="2:8" ht="21.75" customHeight="1" x14ac:dyDescent="0.25">
      <c r="B35" s="24" t="s">
        <v>63</v>
      </c>
      <c r="C35" s="25" t="s">
        <v>64</v>
      </c>
      <c r="D35" s="26"/>
      <c r="E35" s="26"/>
      <c r="F35" s="26"/>
      <c r="G35" s="6" t="str">
        <f>IFERROR(AVERAGE(D35:F35),"")</f>
        <v/>
      </c>
      <c r="H35" s="6"/>
    </row>
    <row r="36" spans="2:8" ht="19.55" customHeight="1" x14ac:dyDescent="0.25">
      <c r="B36" s="5" t="s">
        <v>65</v>
      </c>
      <c r="C36" s="5"/>
      <c r="D36" s="27" t="str">
        <f>IFERROR(AVERAGE(D23:D35),"")</f>
        <v/>
      </c>
      <c r="E36" s="27" t="str">
        <f>IFERROR(AVERAGE(E23:E35),"")</f>
        <v/>
      </c>
      <c r="F36" s="27" t="str">
        <f>IFERROR(AVERAGE(F23:F35),"")</f>
        <v/>
      </c>
      <c r="G36" s="4"/>
      <c r="H36" s="4"/>
    </row>
    <row r="37" spans="2:8" ht="19.55" customHeight="1" x14ac:dyDescent="0.25">
      <c r="B37" s="3" t="s">
        <v>66</v>
      </c>
      <c r="C37" s="3"/>
      <c r="D37" s="2" t="str">
        <f>IF(COUNT(D36:F36)&lt;3,"",AVERAGE(D36:F36))</f>
        <v/>
      </c>
      <c r="E37" s="2"/>
      <c r="F37" s="2"/>
      <c r="G37" s="2"/>
      <c r="H37" s="2"/>
    </row>
    <row r="38" spans="2:8" ht="19.55" customHeight="1" x14ac:dyDescent="0.25">
      <c r="B38" s="5" t="s">
        <v>67</v>
      </c>
      <c r="C38" s="5"/>
      <c r="D38" s="1" t="str">
        <f>IF(D37="","",D37/4)</f>
        <v/>
      </c>
      <c r="E38" s="1"/>
      <c r="F38" s="1"/>
      <c r="G38" s="1"/>
      <c r="H38" s="1"/>
    </row>
    <row r="39" spans="2:8" ht="19.55" customHeight="1" x14ac:dyDescent="0.25">
      <c r="B39" s="5" t="s">
        <v>68</v>
      </c>
      <c r="C39" s="5"/>
      <c r="D39" s="110" t="str">
        <f>IF(D38="","",IF(D38&gt;=1,"MUY BUENO",IF(D38&gt;=0.7,"BUENO",IF(D38&gt;=0.4,"ACEPTABLE","DEFICIENTE"))))</f>
        <v/>
      </c>
      <c r="E39" s="110"/>
      <c r="F39" s="110"/>
      <c r="G39" s="110"/>
      <c r="H39" s="110"/>
    </row>
    <row r="40" spans="2:8" ht="19.55" customHeight="1" x14ac:dyDescent="0.25">
      <c r="B40" s="5" t="s">
        <v>69</v>
      </c>
      <c r="C40" s="5"/>
      <c r="D40" s="110" t="str">
        <f>IF(D37="","",IF(D37&gt;=3,"APRUEBA","NO APRUEBA"))</f>
        <v/>
      </c>
      <c r="E40" s="110"/>
      <c r="F40" s="110"/>
      <c r="G40" s="110"/>
      <c r="H40" s="110"/>
    </row>
    <row r="42" spans="2:8" ht="14.95" customHeight="1" x14ac:dyDescent="0.25">
      <c r="B42" s="111" t="s">
        <v>70</v>
      </c>
      <c r="C42" s="111"/>
      <c r="D42" s="111"/>
      <c r="E42" s="111"/>
      <c r="F42" s="111"/>
      <c r="G42" s="111"/>
      <c r="H42" s="111"/>
    </row>
    <row r="43" spans="2:8" ht="36" customHeight="1" x14ac:dyDescent="0.25">
      <c r="B43" s="22" t="s">
        <v>21</v>
      </c>
      <c r="C43" s="112"/>
      <c r="D43" s="112"/>
      <c r="E43" s="112"/>
      <c r="F43" s="112"/>
      <c r="G43" s="112"/>
      <c r="H43" s="112"/>
    </row>
    <row r="44" spans="2:8" ht="36" customHeight="1" x14ac:dyDescent="0.25">
      <c r="B44" s="22" t="s">
        <v>25</v>
      </c>
      <c r="C44" s="112"/>
      <c r="D44" s="112"/>
      <c r="E44" s="112"/>
      <c r="F44" s="112"/>
      <c r="G44" s="112"/>
      <c r="H44" s="112"/>
    </row>
    <row r="45" spans="2:8" ht="36" customHeight="1" x14ac:dyDescent="0.25">
      <c r="B45" s="22" t="s">
        <v>29</v>
      </c>
      <c r="C45" s="112"/>
      <c r="D45" s="112"/>
      <c r="E45" s="112"/>
      <c r="F45" s="112"/>
      <c r="G45" s="112"/>
      <c r="H45" s="112"/>
    </row>
    <row r="46" spans="2:8" ht="36" customHeight="1" x14ac:dyDescent="0.25">
      <c r="B46" s="22" t="s">
        <v>71</v>
      </c>
      <c r="C46" s="112"/>
      <c r="D46" s="112"/>
      <c r="E46" s="112"/>
      <c r="F46" s="112"/>
      <c r="G46" s="112"/>
      <c r="H46" s="112"/>
    </row>
    <row r="48" spans="2:8" ht="14.95" customHeight="1" x14ac:dyDescent="0.25">
      <c r="B48" s="12" t="s">
        <v>72</v>
      </c>
      <c r="C48" s="12"/>
      <c r="D48" s="12" t="s">
        <v>73</v>
      </c>
      <c r="E48" s="12"/>
      <c r="F48" s="12"/>
      <c r="G48" s="12"/>
      <c r="H48" s="12"/>
    </row>
    <row r="49" spans="2:8" ht="33.799999999999997" customHeight="1" x14ac:dyDescent="0.25">
      <c r="B49" s="113"/>
      <c r="C49" s="113"/>
      <c r="D49" s="113"/>
      <c r="E49" s="113"/>
      <c r="F49" s="113"/>
      <c r="G49" s="113"/>
      <c r="H49" s="113"/>
    </row>
    <row r="51" spans="2:8" x14ac:dyDescent="0.25">
      <c r="B51" s="28" t="s">
        <v>74</v>
      </c>
    </row>
  </sheetData>
  <mergeCells count="55">
    <mergeCell ref="C45:H45"/>
    <mergeCell ref="C46:H46"/>
    <mergeCell ref="B48:C48"/>
    <mergeCell ref="D48:H48"/>
    <mergeCell ref="B49:C49"/>
    <mergeCell ref="D49:H49"/>
    <mergeCell ref="B40:C40"/>
    <mergeCell ref="D40:H40"/>
    <mergeCell ref="B42:H42"/>
    <mergeCell ref="C43:H43"/>
    <mergeCell ref="C44:H44"/>
    <mergeCell ref="B37:C37"/>
    <mergeCell ref="D37:H37"/>
    <mergeCell ref="B38:C38"/>
    <mergeCell ref="D38:H38"/>
    <mergeCell ref="B39:C39"/>
    <mergeCell ref="D39:H39"/>
    <mergeCell ref="G32:H32"/>
    <mergeCell ref="G33:H33"/>
    <mergeCell ref="B34:H34"/>
    <mergeCell ref="G35:H35"/>
    <mergeCell ref="B36:C36"/>
    <mergeCell ref="G36:H36"/>
    <mergeCell ref="G27:H27"/>
    <mergeCell ref="B28:H28"/>
    <mergeCell ref="G29:H29"/>
    <mergeCell ref="G30:H30"/>
    <mergeCell ref="G31:H31"/>
    <mergeCell ref="B22:H22"/>
    <mergeCell ref="G23:H23"/>
    <mergeCell ref="G24:H24"/>
    <mergeCell ref="G25:H25"/>
    <mergeCell ref="G26:H26"/>
    <mergeCell ref="D15:E15"/>
    <mergeCell ref="D16:E16"/>
    <mergeCell ref="B19:H19"/>
    <mergeCell ref="B21:C21"/>
    <mergeCell ref="G21:H21"/>
    <mergeCell ref="D12:E12"/>
    <mergeCell ref="G12:H12"/>
    <mergeCell ref="D13:E13"/>
    <mergeCell ref="G13:H13"/>
    <mergeCell ref="D14:E14"/>
    <mergeCell ref="G14:H14"/>
    <mergeCell ref="D8:E8"/>
    <mergeCell ref="F8:H8"/>
    <mergeCell ref="D9:E9"/>
    <mergeCell ref="F9:H9"/>
    <mergeCell ref="D11:E11"/>
    <mergeCell ref="F11:H11"/>
    <mergeCell ref="B2:B5"/>
    <mergeCell ref="C2:F3"/>
    <mergeCell ref="C4:F5"/>
    <mergeCell ref="D7:E7"/>
    <mergeCell ref="F7:H7"/>
  </mergeCells>
  <dataValidations count="1">
    <dataValidation type="list" allowBlank="1" sqref="D23:F35" xr:uid="{00000000-0002-0000-0000-000000000000}">
      <formula1>"1,2,3,4,N/A"</formula1>
      <formula2>0</formula2>
    </dataValidation>
  </dataValidations>
  <pageMargins left="0.4" right="0.4" top="1" bottom="1" header="0.511811023622047" footer="0.511811023622047"/>
  <pageSetup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2:H51"/>
  <sheetViews>
    <sheetView showGridLines="0" zoomScaleNormal="100" workbookViewId="0"/>
  </sheetViews>
  <sheetFormatPr baseColWidth="10" defaultColWidth="8.69921875" defaultRowHeight="12.75" x14ac:dyDescent="0.25"/>
  <cols>
    <col min="1" max="1" width="2" style="15" customWidth="1"/>
    <col min="2" max="2" width="15" style="15" customWidth="1"/>
    <col min="3" max="3" width="46" style="15" customWidth="1"/>
    <col min="4" max="5" width="13" style="15" customWidth="1"/>
    <col min="6" max="6" width="15" style="15" customWidth="1"/>
    <col min="7" max="8" width="11" style="15" customWidth="1"/>
  </cols>
  <sheetData>
    <row r="2" spans="2:8" ht="18" customHeight="1" x14ac:dyDescent="0.25">
      <c r="B2" s="14"/>
      <c r="C2" s="13" t="s">
        <v>0</v>
      </c>
      <c r="D2" s="13"/>
      <c r="E2" s="13"/>
      <c r="F2" s="13"/>
      <c r="G2" s="16" t="s">
        <v>1</v>
      </c>
      <c r="H2" s="16" t="s">
        <v>2</v>
      </c>
    </row>
    <row r="3" spans="2:8" ht="21.75" customHeight="1" x14ac:dyDescent="0.25">
      <c r="B3" s="14"/>
      <c r="C3" s="13"/>
      <c r="D3" s="13"/>
      <c r="E3" s="13"/>
      <c r="F3" s="13"/>
      <c r="G3" s="16" t="s">
        <v>3</v>
      </c>
      <c r="H3" s="16">
        <v>2</v>
      </c>
    </row>
    <row r="4" spans="2:8" ht="18" customHeight="1" x14ac:dyDescent="0.25">
      <c r="B4" s="14"/>
      <c r="C4" s="13" t="s">
        <v>4</v>
      </c>
      <c r="D4" s="13"/>
      <c r="E4" s="13"/>
      <c r="F4" s="13"/>
      <c r="G4" s="16" t="s">
        <v>5</v>
      </c>
      <c r="H4" s="16" t="s">
        <v>6</v>
      </c>
    </row>
    <row r="5" spans="2:8" ht="21.75" customHeight="1" x14ac:dyDescent="0.25">
      <c r="B5" s="14"/>
      <c r="C5" s="13"/>
      <c r="D5" s="13"/>
      <c r="E5" s="13"/>
      <c r="F5" s="13"/>
      <c r="G5" s="17">
        <v>46030</v>
      </c>
      <c r="H5" s="16">
        <v>1</v>
      </c>
    </row>
    <row r="7" spans="2:8" ht="19.55" customHeight="1" x14ac:dyDescent="0.25">
      <c r="B7" s="18" t="s">
        <v>7</v>
      </c>
      <c r="C7" s="29" t="s">
        <v>75</v>
      </c>
      <c r="D7" s="12" t="s">
        <v>8</v>
      </c>
      <c r="E7" s="12"/>
      <c r="F7" s="114" t="s">
        <v>76</v>
      </c>
      <c r="G7" s="114"/>
      <c r="H7" s="114"/>
    </row>
    <row r="8" spans="2:8" ht="19.55" customHeight="1" x14ac:dyDescent="0.25">
      <c r="B8" s="18" t="s">
        <v>9</v>
      </c>
      <c r="C8" s="19" t="s">
        <v>10</v>
      </c>
      <c r="D8" s="12" t="s">
        <v>11</v>
      </c>
      <c r="E8" s="12"/>
      <c r="F8" s="14" t="s">
        <v>12</v>
      </c>
      <c r="G8" s="14"/>
      <c r="H8" s="14"/>
    </row>
    <row r="9" spans="2:8" ht="19.55" customHeight="1" x14ac:dyDescent="0.25">
      <c r="B9" s="18" t="s">
        <v>13</v>
      </c>
      <c r="C9" s="30">
        <v>46371</v>
      </c>
      <c r="D9" s="12" t="s">
        <v>14</v>
      </c>
      <c r="E9" s="12"/>
      <c r="F9" s="114" t="s">
        <v>77</v>
      </c>
      <c r="G9" s="114"/>
      <c r="H9" s="114"/>
    </row>
    <row r="11" spans="2:8" ht="14.95" customHeight="1" x14ac:dyDescent="0.25">
      <c r="B11" s="21" t="s">
        <v>15</v>
      </c>
      <c r="C11" s="21" t="s">
        <v>16</v>
      </c>
      <c r="D11" s="11" t="s">
        <v>17</v>
      </c>
      <c r="E11" s="11"/>
      <c r="F11" s="11" t="s">
        <v>18</v>
      </c>
      <c r="G11" s="11"/>
      <c r="H11" s="11"/>
    </row>
    <row r="12" spans="2:8" ht="23.95" customHeight="1" x14ac:dyDescent="0.25">
      <c r="B12" s="16" t="s">
        <v>19</v>
      </c>
      <c r="C12" s="16">
        <v>1</v>
      </c>
      <c r="D12" s="10" t="s">
        <v>20</v>
      </c>
      <c r="E12" s="10"/>
      <c r="F12" s="22" t="s">
        <v>21</v>
      </c>
      <c r="G12" s="9" t="s">
        <v>22</v>
      </c>
      <c r="H12" s="9"/>
    </row>
    <row r="13" spans="2:8" ht="23.95" customHeight="1" x14ac:dyDescent="0.25">
      <c r="B13" s="16" t="s">
        <v>23</v>
      </c>
      <c r="C13" s="16">
        <v>2</v>
      </c>
      <c r="D13" s="10" t="s">
        <v>24</v>
      </c>
      <c r="E13" s="10"/>
      <c r="F13" s="22" t="s">
        <v>25</v>
      </c>
      <c r="G13" s="9" t="s">
        <v>26</v>
      </c>
      <c r="H13" s="9"/>
    </row>
    <row r="14" spans="2:8" ht="23.95" customHeight="1" x14ac:dyDescent="0.25">
      <c r="B14" s="16" t="s">
        <v>27</v>
      </c>
      <c r="C14" s="16">
        <v>3</v>
      </c>
      <c r="D14" s="10" t="s">
        <v>28</v>
      </c>
      <c r="E14" s="10"/>
      <c r="F14" s="22" t="s">
        <v>29</v>
      </c>
      <c r="G14" s="9" t="s">
        <v>30</v>
      </c>
      <c r="H14" s="9"/>
    </row>
    <row r="15" spans="2:8" ht="14.95" customHeight="1" x14ac:dyDescent="0.25">
      <c r="B15" s="16" t="s">
        <v>31</v>
      </c>
      <c r="C15" s="16">
        <v>4</v>
      </c>
      <c r="D15" s="10" t="s">
        <v>32</v>
      </c>
      <c r="E15" s="10"/>
    </row>
    <row r="16" spans="2:8" ht="14.95" customHeight="1" x14ac:dyDescent="0.25">
      <c r="B16" s="16" t="s">
        <v>33</v>
      </c>
      <c r="C16" s="16" t="s">
        <v>34</v>
      </c>
      <c r="D16" s="10" t="s">
        <v>35</v>
      </c>
      <c r="E16" s="10"/>
    </row>
    <row r="18" spans="2:8" x14ac:dyDescent="0.25">
      <c r="B18" s="23" t="s">
        <v>36</v>
      </c>
    </row>
    <row r="19" spans="2:8" ht="23.95" customHeight="1" x14ac:dyDescent="0.25">
      <c r="B19" s="8" t="s">
        <v>37</v>
      </c>
      <c r="C19" s="8"/>
      <c r="D19" s="8"/>
      <c r="E19" s="8"/>
      <c r="F19" s="8"/>
      <c r="G19" s="8"/>
      <c r="H19" s="8"/>
    </row>
    <row r="21" spans="2:8" ht="30.05" customHeight="1" x14ac:dyDescent="0.25">
      <c r="B21" s="11" t="s">
        <v>38</v>
      </c>
      <c r="C21" s="11"/>
      <c r="D21" s="21" t="s">
        <v>21</v>
      </c>
      <c r="E21" s="21" t="s">
        <v>25</v>
      </c>
      <c r="F21" s="21" t="s">
        <v>29</v>
      </c>
      <c r="G21" s="11" t="s">
        <v>39</v>
      </c>
      <c r="H21" s="11"/>
    </row>
    <row r="22" spans="2:8" ht="14.95" customHeight="1" x14ac:dyDescent="0.25">
      <c r="B22" s="7" t="s">
        <v>40</v>
      </c>
      <c r="C22" s="7"/>
      <c r="D22" s="7"/>
      <c r="E22" s="7"/>
      <c r="F22" s="7"/>
      <c r="G22" s="7"/>
      <c r="H22" s="7"/>
    </row>
    <row r="23" spans="2:8" ht="21.75" customHeight="1" x14ac:dyDescent="0.25">
      <c r="B23" s="24" t="s">
        <v>41</v>
      </c>
      <c r="C23" s="25" t="s">
        <v>42</v>
      </c>
      <c r="D23" s="26">
        <v>4</v>
      </c>
      <c r="E23" s="26">
        <v>3</v>
      </c>
      <c r="F23" s="26">
        <v>4</v>
      </c>
      <c r="G23" s="6">
        <f>IFERROR(AVERAGE(D23:F23),"")</f>
        <v>3.6666666666666665</v>
      </c>
      <c r="H23" s="6"/>
    </row>
    <row r="24" spans="2:8" ht="21.75" customHeight="1" x14ac:dyDescent="0.25">
      <c r="B24" s="24" t="s">
        <v>43</v>
      </c>
      <c r="C24" s="25" t="s">
        <v>44</v>
      </c>
      <c r="D24" s="26">
        <v>4</v>
      </c>
      <c r="E24" s="26">
        <v>3</v>
      </c>
      <c r="F24" s="26">
        <v>3</v>
      </c>
      <c r="G24" s="6">
        <f>IFERROR(AVERAGE(D24:F24),"")</f>
        <v>3.3333333333333335</v>
      </c>
      <c r="H24" s="6"/>
    </row>
    <row r="25" spans="2:8" ht="21.75" customHeight="1" x14ac:dyDescent="0.25">
      <c r="B25" s="24" t="s">
        <v>45</v>
      </c>
      <c r="C25" s="25" t="s">
        <v>46</v>
      </c>
      <c r="D25" s="26">
        <v>4</v>
      </c>
      <c r="E25" s="26">
        <v>4</v>
      </c>
      <c r="F25" s="26">
        <v>3</v>
      </c>
      <c r="G25" s="6">
        <f>IFERROR(AVERAGE(D25:F25),"")</f>
        <v>3.6666666666666665</v>
      </c>
      <c r="H25" s="6"/>
    </row>
    <row r="26" spans="2:8" ht="21.75" customHeight="1" x14ac:dyDescent="0.25">
      <c r="B26" s="24" t="s">
        <v>47</v>
      </c>
      <c r="C26" s="25" t="s">
        <v>48</v>
      </c>
      <c r="D26" s="26">
        <v>4</v>
      </c>
      <c r="E26" s="26" t="s">
        <v>33</v>
      </c>
      <c r="F26" s="26">
        <v>4</v>
      </c>
      <c r="G26" s="6">
        <f>IFERROR(AVERAGE(D26:F26),"")</f>
        <v>4</v>
      </c>
      <c r="H26" s="6"/>
    </row>
    <row r="27" spans="2:8" ht="21.75" customHeight="1" x14ac:dyDescent="0.25">
      <c r="B27" s="24" t="s">
        <v>49</v>
      </c>
      <c r="C27" s="25" t="s">
        <v>50</v>
      </c>
      <c r="D27" s="26">
        <v>4</v>
      </c>
      <c r="E27" s="26">
        <v>3</v>
      </c>
      <c r="F27" s="26">
        <v>3</v>
      </c>
      <c r="G27" s="6">
        <f>IFERROR(AVERAGE(D27:F27),"")</f>
        <v>3.3333333333333335</v>
      </c>
      <c r="H27" s="6"/>
    </row>
    <row r="28" spans="2:8" ht="14.95" customHeight="1" x14ac:dyDescent="0.25">
      <c r="B28" s="7" t="s">
        <v>51</v>
      </c>
      <c r="C28" s="7"/>
      <c r="D28" s="7"/>
      <c r="E28" s="7"/>
      <c r="F28" s="7"/>
      <c r="G28" s="7"/>
      <c r="H28" s="7"/>
    </row>
    <row r="29" spans="2:8" ht="21.75" customHeight="1" x14ac:dyDescent="0.25">
      <c r="B29" s="24" t="s">
        <v>52</v>
      </c>
      <c r="C29" s="25" t="s">
        <v>53</v>
      </c>
      <c r="D29" s="26">
        <v>3</v>
      </c>
      <c r="E29" s="26">
        <v>3</v>
      </c>
      <c r="F29" s="26">
        <v>3</v>
      </c>
      <c r="G29" s="6">
        <f>IFERROR(AVERAGE(D29:F29),"")</f>
        <v>3</v>
      </c>
      <c r="H29" s="6"/>
    </row>
    <row r="30" spans="2:8" ht="30.05" customHeight="1" x14ac:dyDescent="0.25">
      <c r="B30" s="24" t="s">
        <v>54</v>
      </c>
      <c r="C30" s="25" t="s">
        <v>55</v>
      </c>
      <c r="D30" s="26">
        <v>4</v>
      </c>
      <c r="E30" s="26">
        <v>2</v>
      </c>
      <c r="F30" s="26">
        <v>3</v>
      </c>
      <c r="G30" s="6">
        <f>IFERROR(AVERAGE(D30:F30),"")</f>
        <v>3</v>
      </c>
      <c r="H30" s="6"/>
    </row>
    <row r="31" spans="2:8" ht="21.75" customHeight="1" x14ac:dyDescent="0.25">
      <c r="B31" s="24" t="s">
        <v>56</v>
      </c>
      <c r="C31" s="25" t="s">
        <v>57</v>
      </c>
      <c r="D31" s="26">
        <v>3</v>
      </c>
      <c r="E31" s="26">
        <v>3</v>
      </c>
      <c r="F31" s="26">
        <v>3</v>
      </c>
      <c r="G31" s="6">
        <f>IFERROR(AVERAGE(D31:F31),"")</f>
        <v>3</v>
      </c>
      <c r="H31" s="6"/>
    </row>
    <row r="32" spans="2:8" ht="21.75" customHeight="1" x14ac:dyDescent="0.25">
      <c r="B32" s="24" t="s">
        <v>58</v>
      </c>
      <c r="C32" s="25" t="s">
        <v>59</v>
      </c>
      <c r="D32" s="26">
        <v>3</v>
      </c>
      <c r="E32" s="26">
        <v>3</v>
      </c>
      <c r="F32" s="26">
        <v>3</v>
      </c>
      <c r="G32" s="6">
        <f>IFERROR(AVERAGE(D32:F32),"")</f>
        <v>3</v>
      </c>
      <c r="H32" s="6"/>
    </row>
    <row r="33" spans="2:8" ht="30.05" customHeight="1" x14ac:dyDescent="0.25">
      <c r="B33" s="24" t="s">
        <v>60</v>
      </c>
      <c r="C33" s="25" t="s">
        <v>61</v>
      </c>
      <c r="D33" s="26">
        <v>4</v>
      </c>
      <c r="E33" s="26">
        <v>2</v>
      </c>
      <c r="F33" s="26">
        <v>3</v>
      </c>
      <c r="G33" s="6">
        <f>IFERROR(AVERAGE(D33:F33),"")</f>
        <v>3</v>
      </c>
      <c r="H33" s="6"/>
    </row>
    <row r="34" spans="2:8" ht="14.95" customHeight="1" x14ac:dyDescent="0.25">
      <c r="B34" s="7" t="s">
        <v>62</v>
      </c>
      <c r="C34" s="7"/>
      <c r="D34" s="7"/>
      <c r="E34" s="7"/>
      <c r="F34" s="7"/>
      <c r="G34" s="7"/>
      <c r="H34" s="7"/>
    </row>
    <row r="35" spans="2:8" ht="21.75" customHeight="1" x14ac:dyDescent="0.25">
      <c r="B35" s="24" t="s">
        <v>63</v>
      </c>
      <c r="C35" s="25" t="s">
        <v>64</v>
      </c>
      <c r="D35" s="26">
        <v>4</v>
      </c>
      <c r="E35" s="26" t="s">
        <v>33</v>
      </c>
      <c r="F35" s="26">
        <v>3</v>
      </c>
      <c r="G35" s="6">
        <f>IFERROR(AVERAGE(D35:F35),"")</f>
        <v>3.5</v>
      </c>
      <c r="H35" s="6"/>
    </row>
    <row r="36" spans="2:8" ht="19.55" customHeight="1" x14ac:dyDescent="0.25">
      <c r="B36" s="5" t="s">
        <v>65</v>
      </c>
      <c r="C36" s="5"/>
      <c r="D36" s="27">
        <f>IFERROR(AVERAGE(D23:D35),"")</f>
        <v>3.7272727272727271</v>
      </c>
      <c r="E36" s="27">
        <f>IFERROR(AVERAGE(E23:E35),"")</f>
        <v>2.8888888888888888</v>
      </c>
      <c r="F36" s="27">
        <f>IFERROR(AVERAGE(F23:F35),"")</f>
        <v>3.1818181818181817</v>
      </c>
      <c r="G36" s="4"/>
      <c r="H36" s="4"/>
    </row>
    <row r="37" spans="2:8" ht="19.55" customHeight="1" x14ac:dyDescent="0.25">
      <c r="B37" s="3" t="s">
        <v>66</v>
      </c>
      <c r="C37" s="3"/>
      <c r="D37" s="2">
        <f>IF(COUNT(D36:F36)&lt;3,"",AVERAGE(D36:F36))</f>
        <v>3.265993265993266</v>
      </c>
      <c r="E37" s="2"/>
      <c r="F37" s="2"/>
      <c r="G37" s="2"/>
      <c r="H37" s="2"/>
    </row>
    <row r="38" spans="2:8" ht="19.55" customHeight="1" x14ac:dyDescent="0.25">
      <c r="B38" s="5" t="s">
        <v>67</v>
      </c>
      <c r="C38" s="5"/>
      <c r="D38" s="1">
        <f>IF(D37="","",D37/4)</f>
        <v>0.8164983164983165</v>
      </c>
      <c r="E38" s="1"/>
      <c r="F38" s="1"/>
      <c r="G38" s="1"/>
      <c r="H38" s="1"/>
    </row>
    <row r="39" spans="2:8" ht="19.55" customHeight="1" x14ac:dyDescent="0.25">
      <c r="B39" s="5" t="s">
        <v>68</v>
      </c>
      <c r="C39" s="5"/>
      <c r="D39" s="110" t="str">
        <f>IF(D38="","",IF(D38&gt;=1,"MUY BUENO",IF(D38&gt;=0.7,"BUENO",IF(D38&gt;=0.4,"ACEPTABLE","DEFICIENTE"))))</f>
        <v>BUENO</v>
      </c>
      <c r="E39" s="110"/>
      <c r="F39" s="110"/>
      <c r="G39" s="110"/>
      <c r="H39" s="110"/>
    </row>
    <row r="40" spans="2:8" ht="19.55" customHeight="1" x14ac:dyDescent="0.25">
      <c r="B40" s="5" t="s">
        <v>69</v>
      </c>
      <c r="C40" s="5"/>
      <c r="D40" s="110" t="str">
        <f>IF(D37="","",IF(D37&gt;=3,"APRUEBA","NO APRUEBA"))</f>
        <v>APRUEBA</v>
      </c>
      <c r="E40" s="110"/>
      <c r="F40" s="110"/>
      <c r="G40" s="110"/>
      <c r="H40" s="110"/>
    </row>
    <row r="42" spans="2:8" ht="14.95" customHeight="1" x14ac:dyDescent="0.25">
      <c r="B42" s="111" t="s">
        <v>70</v>
      </c>
      <c r="C42" s="111"/>
      <c r="D42" s="111"/>
      <c r="E42" s="111"/>
      <c r="F42" s="111"/>
      <c r="G42" s="111"/>
      <c r="H42" s="111"/>
    </row>
    <row r="43" spans="2:8" ht="36" customHeight="1" x14ac:dyDescent="0.25">
      <c r="B43" s="22" t="s">
        <v>21</v>
      </c>
      <c r="C43" s="112" t="s">
        <v>78</v>
      </c>
      <c r="D43" s="112"/>
      <c r="E43" s="112"/>
      <c r="F43" s="112"/>
      <c r="G43" s="112"/>
      <c r="H43" s="112"/>
    </row>
    <row r="44" spans="2:8" ht="36" customHeight="1" x14ac:dyDescent="0.25">
      <c r="B44" s="22" t="s">
        <v>25</v>
      </c>
      <c r="C44" s="112" t="s">
        <v>79</v>
      </c>
      <c r="D44" s="112"/>
      <c r="E44" s="112"/>
      <c r="F44" s="112"/>
      <c r="G44" s="112"/>
      <c r="H44" s="112"/>
    </row>
    <row r="45" spans="2:8" ht="36" customHeight="1" x14ac:dyDescent="0.25">
      <c r="B45" s="22" t="s">
        <v>29</v>
      </c>
      <c r="C45" s="112" t="s">
        <v>80</v>
      </c>
      <c r="D45" s="112"/>
      <c r="E45" s="112"/>
      <c r="F45" s="112"/>
      <c r="G45" s="112"/>
      <c r="H45" s="112"/>
    </row>
    <row r="46" spans="2:8" ht="36" customHeight="1" x14ac:dyDescent="0.25">
      <c r="B46" s="22" t="s">
        <v>71</v>
      </c>
      <c r="C46" s="112" t="s">
        <v>81</v>
      </c>
      <c r="D46" s="112"/>
      <c r="E46" s="112"/>
      <c r="F46" s="112"/>
      <c r="G46" s="112"/>
      <c r="H46" s="112"/>
    </row>
    <row r="48" spans="2:8" ht="14.95" customHeight="1" x14ac:dyDescent="0.25">
      <c r="B48" s="12" t="s">
        <v>72</v>
      </c>
      <c r="C48" s="12"/>
      <c r="D48" s="12" t="s">
        <v>73</v>
      </c>
      <c r="E48" s="12"/>
      <c r="F48" s="12"/>
      <c r="G48" s="12"/>
      <c r="H48" s="12"/>
    </row>
    <row r="49" spans="2:8" ht="33.799999999999997" customHeight="1" x14ac:dyDescent="0.25">
      <c r="B49" s="113" t="s">
        <v>82</v>
      </c>
      <c r="C49" s="113"/>
      <c r="D49" s="113" t="s">
        <v>83</v>
      </c>
      <c r="E49" s="113"/>
      <c r="F49" s="113"/>
      <c r="G49" s="113"/>
      <c r="H49" s="113"/>
    </row>
    <row r="51" spans="2:8" x14ac:dyDescent="0.25">
      <c r="B51" s="28" t="s">
        <v>74</v>
      </c>
    </row>
  </sheetData>
  <mergeCells count="55">
    <mergeCell ref="C45:H45"/>
    <mergeCell ref="C46:H46"/>
    <mergeCell ref="B48:C48"/>
    <mergeCell ref="D48:H48"/>
    <mergeCell ref="B49:C49"/>
    <mergeCell ref="D49:H49"/>
    <mergeCell ref="B40:C40"/>
    <mergeCell ref="D40:H40"/>
    <mergeCell ref="B42:H42"/>
    <mergeCell ref="C43:H43"/>
    <mergeCell ref="C44:H44"/>
    <mergeCell ref="B37:C37"/>
    <mergeCell ref="D37:H37"/>
    <mergeCell ref="B38:C38"/>
    <mergeCell ref="D38:H38"/>
    <mergeCell ref="B39:C39"/>
    <mergeCell ref="D39:H39"/>
    <mergeCell ref="G32:H32"/>
    <mergeCell ref="G33:H33"/>
    <mergeCell ref="B34:H34"/>
    <mergeCell ref="G35:H35"/>
    <mergeCell ref="B36:C36"/>
    <mergeCell ref="G36:H36"/>
    <mergeCell ref="G27:H27"/>
    <mergeCell ref="B28:H28"/>
    <mergeCell ref="G29:H29"/>
    <mergeCell ref="G30:H30"/>
    <mergeCell ref="G31:H31"/>
    <mergeCell ref="B22:H22"/>
    <mergeCell ref="G23:H23"/>
    <mergeCell ref="G24:H24"/>
    <mergeCell ref="G25:H25"/>
    <mergeCell ref="G26:H26"/>
    <mergeCell ref="D15:E15"/>
    <mergeCell ref="D16:E16"/>
    <mergeCell ref="B19:H19"/>
    <mergeCell ref="B21:C21"/>
    <mergeCell ref="G21:H21"/>
    <mergeCell ref="D12:E12"/>
    <mergeCell ref="G12:H12"/>
    <mergeCell ref="D13:E13"/>
    <mergeCell ref="G13:H13"/>
    <mergeCell ref="D14:E14"/>
    <mergeCell ref="G14:H14"/>
    <mergeCell ref="D8:E8"/>
    <mergeCell ref="F8:H8"/>
    <mergeCell ref="D9:E9"/>
    <mergeCell ref="F9:H9"/>
    <mergeCell ref="D11:E11"/>
    <mergeCell ref="F11:H11"/>
    <mergeCell ref="B2:B5"/>
    <mergeCell ref="C2:F3"/>
    <mergeCell ref="C4:F5"/>
    <mergeCell ref="D7:E7"/>
    <mergeCell ref="F7:H7"/>
  </mergeCells>
  <dataValidations count="1">
    <dataValidation type="list" allowBlank="1" sqref="D23:F35" xr:uid="{00000000-0002-0000-0100-000000000000}">
      <formula1>"1,2,3,4,N/A"</formula1>
      <formula2>0</formula2>
    </dataValidation>
  </dataValidations>
  <pageMargins left="0.4" right="0.4" top="1" bottom="1" header="0.511811023622047" footer="0.511811023622047"/>
  <pageSetup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  <pageSetUpPr fitToPage="1"/>
  </sheetPr>
  <dimension ref="A1:Q58"/>
  <sheetViews>
    <sheetView showGridLines="0" tabSelected="1" topLeftCell="E6" zoomScale="85" zoomScaleNormal="85" zoomScalePageLayoutView="125" workbookViewId="0">
      <selection activeCell="C46" sqref="C46:H46"/>
    </sheetView>
  </sheetViews>
  <sheetFormatPr baseColWidth="10" defaultColWidth="11.5" defaultRowHeight="11.1" x14ac:dyDescent="0.2"/>
  <cols>
    <col min="1" max="1" width="10.69921875" style="31" customWidth="1"/>
    <col min="2" max="2" width="22.5" style="31" customWidth="1"/>
    <col min="3" max="3" width="11.5" style="32"/>
    <col min="4" max="4" width="22.19921875" style="33" customWidth="1"/>
    <col min="5" max="5" width="15.5" style="31" customWidth="1"/>
    <col min="6" max="6" width="16.19921875" style="31" customWidth="1"/>
    <col min="7" max="7" width="26.19921875" style="31" customWidth="1"/>
    <col min="8" max="9" width="17.69921875" style="31" customWidth="1"/>
    <col min="10" max="10" width="22.5" style="31" customWidth="1"/>
    <col min="11" max="12" width="22.69921875" style="31" customWidth="1"/>
    <col min="13" max="13" width="22.5" style="31" customWidth="1"/>
    <col min="14" max="14" width="21.296875" style="31" customWidth="1"/>
    <col min="15" max="15" width="16.796875" style="34" customWidth="1"/>
    <col min="16" max="16" width="14.69921875" style="31" customWidth="1"/>
    <col min="17" max="17" width="57.69921875" style="31" customWidth="1"/>
    <col min="18" max="16384" width="11.5" style="31"/>
  </cols>
  <sheetData>
    <row r="1" spans="1:17" ht="3.75" customHeight="1" x14ac:dyDescent="0.2">
      <c r="C1" s="35"/>
      <c r="G1" s="36"/>
      <c r="H1" s="36"/>
      <c r="I1" s="36"/>
      <c r="J1" s="36"/>
      <c r="K1" s="36"/>
      <c r="L1" s="36"/>
      <c r="M1" s="36"/>
      <c r="N1" s="36"/>
      <c r="O1" s="37"/>
      <c r="P1" s="33"/>
    </row>
    <row r="2" spans="1:17" ht="14.95" customHeight="1" x14ac:dyDescent="0.2">
      <c r="B2" s="115"/>
      <c r="C2" s="116" t="s">
        <v>84</v>
      </c>
      <c r="D2" s="116"/>
      <c r="E2" s="116"/>
      <c r="F2" s="116"/>
      <c r="G2" s="116"/>
      <c r="H2" s="116"/>
      <c r="I2" s="116"/>
      <c r="J2" s="116"/>
      <c r="K2" s="116"/>
      <c r="L2" s="116"/>
      <c r="M2" s="116"/>
      <c r="N2" s="116"/>
      <c r="O2" s="38" t="s">
        <v>1</v>
      </c>
      <c r="P2" s="39" t="s">
        <v>85</v>
      </c>
      <c r="Q2" s="40"/>
    </row>
    <row r="3" spans="1:17" ht="27" customHeight="1" x14ac:dyDescent="0.2">
      <c r="B3" s="115"/>
      <c r="C3" s="116"/>
      <c r="D3" s="116"/>
      <c r="E3" s="116"/>
      <c r="F3" s="116"/>
      <c r="G3" s="116"/>
      <c r="H3" s="116"/>
      <c r="I3" s="116"/>
      <c r="J3" s="116"/>
      <c r="K3" s="116"/>
      <c r="L3" s="116"/>
      <c r="M3" s="116"/>
      <c r="N3" s="116"/>
      <c r="O3" s="41" t="s">
        <v>86</v>
      </c>
      <c r="P3" s="42">
        <v>2</v>
      </c>
      <c r="Q3" s="40"/>
    </row>
    <row r="4" spans="1:17" ht="14.3" customHeight="1" x14ac:dyDescent="0.2">
      <c r="B4" s="115"/>
      <c r="C4" s="116" t="s">
        <v>87</v>
      </c>
      <c r="D4" s="116"/>
      <c r="E4" s="116"/>
      <c r="F4" s="116"/>
      <c r="G4" s="116"/>
      <c r="H4" s="116"/>
      <c r="I4" s="116"/>
      <c r="J4" s="116"/>
      <c r="K4" s="116"/>
      <c r="L4" s="116"/>
      <c r="M4" s="116"/>
      <c r="N4" s="116"/>
      <c r="O4" s="38" t="s">
        <v>5</v>
      </c>
      <c r="P4" s="39" t="s">
        <v>88</v>
      </c>
      <c r="Q4" s="40"/>
    </row>
    <row r="5" spans="1:17" ht="30.05" customHeight="1" x14ac:dyDescent="0.2">
      <c r="B5" s="115"/>
      <c r="C5" s="116"/>
      <c r="D5" s="116"/>
      <c r="E5" s="116"/>
      <c r="F5" s="116"/>
      <c r="G5" s="116"/>
      <c r="H5" s="116"/>
      <c r="I5" s="116"/>
      <c r="J5" s="116"/>
      <c r="K5" s="116"/>
      <c r="L5" s="116"/>
      <c r="M5" s="116"/>
      <c r="N5" s="116"/>
      <c r="O5" s="43">
        <v>46030</v>
      </c>
      <c r="P5" s="44">
        <v>1</v>
      </c>
      <c r="Q5" s="40"/>
    </row>
    <row r="6" spans="1:17" ht="17.350000000000001" customHeight="1" x14ac:dyDescent="0.35">
      <c r="C6" s="45"/>
      <c r="G6" s="46"/>
      <c r="H6" s="46"/>
      <c r="I6" s="46"/>
      <c r="J6" s="46"/>
      <c r="K6" s="46"/>
      <c r="L6" s="46"/>
      <c r="M6" s="46"/>
      <c r="N6" s="46"/>
      <c r="O6" s="47"/>
      <c r="P6" s="33"/>
    </row>
    <row r="7" spans="1:17" ht="27" customHeight="1" x14ac:dyDescent="0.25">
      <c r="B7" s="48" t="s">
        <v>15</v>
      </c>
      <c r="C7" s="49" t="s">
        <v>16</v>
      </c>
      <c r="D7" s="50" t="s">
        <v>89</v>
      </c>
      <c r="F7" s="117" t="s">
        <v>9</v>
      </c>
      <c r="G7" s="117"/>
      <c r="H7" s="51" t="s">
        <v>11</v>
      </c>
      <c r="I7" s="52"/>
      <c r="J7" s="53"/>
      <c r="K7" s="53"/>
      <c r="L7" s="53"/>
      <c r="M7" s="118" t="s">
        <v>13</v>
      </c>
      <c r="N7" s="118"/>
      <c r="O7" s="54"/>
    </row>
    <row r="8" spans="1:17" ht="24.8" customHeight="1" x14ac:dyDescent="0.25">
      <c r="B8" s="55" t="s">
        <v>19</v>
      </c>
      <c r="C8" s="56">
        <v>1</v>
      </c>
      <c r="D8" s="55" t="s">
        <v>20</v>
      </c>
      <c r="F8" s="119" t="s">
        <v>90</v>
      </c>
      <c r="G8" s="119"/>
      <c r="H8" s="57" t="s">
        <v>12</v>
      </c>
      <c r="I8" s="58"/>
      <c r="J8" s="58"/>
      <c r="K8" s="58"/>
      <c r="L8" s="58"/>
      <c r="M8" s="120"/>
      <c r="N8" s="120"/>
      <c r="O8" s="59"/>
    </row>
    <row r="9" spans="1:17" ht="24.8" customHeight="1" x14ac:dyDescent="0.25">
      <c r="B9" s="55" t="s">
        <v>23</v>
      </c>
      <c r="C9" s="56">
        <v>2</v>
      </c>
      <c r="D9" s="55" t="s">
        <v>24</v>
      </c>
      <c r="E9" s="60"/>
      <c r="F9" s="119"/>
      <c r="G9" s="119"/>
      <c r="H9" s="57"/>
      <c r="I9" s="58"/>
      <c r="J9" s="58"/>
      <c r="K9" s="58"/>
      <c r="L9" s="58"/>
      <c r="M9" s="58"/>
      <c r="N9" s="58"/>
      <c r="O9" s="59"/>
    </row>
    <row r="10" spans="1:17" ht="24.8" customHeight="1" x14ac:dyDescent="0.25">
      <c r="B10" s="55" t="s">
        <v>27</v>
      </c>
      <c r="C10" s="56">
        <v>3</v>
      </c>
      <c r="D10" s="55" t="s">
        <v>91</v>
      </c>
      <c r="E10" s="121"/>
      <c r="F10" s="121"/>
      <c r="G10" s="121"/>
      <c r="H10" s="61"/>
      <c r="I10" s="61"/>
      <c r="J10" s="61"/>
      <c r="K10" s="61"/>
      <c r="L10" s="61"/>
      <c r="M10" s="118" t="s">
        <v>8</v>
      </c>
      <c r="N10" s="118"/>
      <c r="O10" s="62"/>
      <c r="P10" s="59"/>
    </row>
    <row r="11" spans="1:17" ht="24.8" customHeight="1" x14ac:dyDescent="0.25">
      <c r="B11" s="55" t="s">
        <v>92</v>
      </c>
      <c r="C11" s="56">
        <v>4</v>
      </c>
      <c r="D11" s="55">
        <v>100</v>
      </c>
      <c r="E11" s="122"/>
      <c r="F11" s="122"/>
      <c r="G11" s="122"/>
      <c r="H11" s="63"/>
      <c r="I11" s="63"/>
      <c r="J11" s="63"/>
      <c r="K11" s="63"/>
      <c r="L11" s="63"/>
      <c r="M11" s="123" t="s">
        <v>93</v>
      </c>
      <c r="N11" s="123"/>
      <c r="O11" s="62"/>
      <c r="P11" s="59"/>
    </row>
    <row r="12" spans="1:17" s="32" customFormat="1" ht="22.6" customHeight="1" x14ac:dyDescent="0.2">
      <c r="C12" s="35"/>
      <c r="D12" s="64"/>
      <c r="G12" s="65"/>
      <c r="H12" s="35"/>
      <c r="I12" s="35"/>
      <c r="J12" s="35"/>
      <c r="K12" s="35"/>
      <c r="L12" s="35"/>
      <c r="M12" s="35"/>
      <c r="N12" s="35"/>
      <c r="O12" s="66"/>
      <c r="P12" s="64"/>
    </row>
    <row r="13" spans="1:17" s="32" customFormat="1" ht="16.5" customHeight="1" x14ac:dyDescent="0.25">
      <c r="B13" s="67" t="s">
        <v>36</v>
      </c>
      <c r="C13" s="35"/>
      <c r="D13" s="64"/>
      <c r="G13" s="65"/>
      <c r="H13" s="35"/>
      <c r="I13" s="35"/>
      <c r="J13" s="35"/>
      <c r="K13" s="35"/>
      <c r="L13" s="35"/>
      <c r="M13" s="35"/>
      <c r="N13" s="35"/>
      <c r="O13" s="66"/>
      <c r="P13" s="64"/>
    </row>
    <row r="14" spans="1:17" s="32" customFormat="1" ht="16.5" customHeight="1" x14ac:dyDescent="0.25">
      <c r="B14" s="67" t="s">
        <v>94</v>
      </c>
      <c r="C14" s="35"/>
      <c r="D14" s="64"/>
      <c r="G14" s="35"/>
      <c r="H14" s="35"/>
      <c r="I14" s="35"/>
      <c r="J14" s="35"/>
      <c r="K14" s="35"/>
      <c r="L14" s="35"/>
      <c r="M14" s="35"/>
      <c r="N14" s="35"/>
      <c r="O14" s="66"/>
      <c r="P14" s="64"/>
    </row>
    <row r="15" spans="1:17" s="32" customFormat="1" ht="78.8" customHeight="1" x14ac:dyDescent="0.2">
      <c r="B15" s="124" t="s">
        <v>95</v>
      </c>
      <c r="C15" s="124"/>
      <c r="D15" s="68" t="s">
        <v>96</v>
      </c>
      <c r="E15" s="68" t="s">
        <v>97</v>
      </c>
      <c r="F15" s="68" t="s">
        <v>98</v>
      </c>
      <c r="G15" s="68" t="s">
        <v>99</v>
      </c>
      <c r="H15" s="68" t="s">
        <v>100</v>
      </c>
      <c r="I15" s="68" t="s">
        <v>101</v>
      </c>
      <c r="J15" s="68" t="s">
        <v>102</v>
      </c>
      <c r="K15" s="68" t="s">
        <v>103</v>
      </c>
      <c r="L15" s="68" t="s">
        <v>104</v>
      </c>
      <c r="M15" s="68" t="s">
        <v>105</v>
      </c>
      <c r="N15" s="68" t="s">
        <v>106</v>
      </c>
      <c r="O15" s="69" t="s">
        <v>107</v>
      </c>
      <c r="P15" s="70" t="s">
        <v>108</v>
      </c>
      <c r="Q15" s="71" t="s">
        <v>70</v>
      </c>
    </row>
    <row r="16" spans="1:17" s="32" customFormat="1" ht="12.75" customHeight="1" x14ac:dyDescent="0.2">
      <c r="A16" s="72" t="s">
        <v>109</v>
      </c>
      <c r="B16" s="125" t="s">
        <v>75</v>
      </c>
      <c r="C16" s="125"/>
      <c r="D16" s="73">
        <v>3</v>
      </c>
      <c r="E16" s="73">
        <v>3</v>
      </c>
      <c r="F16" s="73">
        <v>4</v>
      </c>
      <c r="G16" s="73" t="s">
        <v>33</v>
      </c>
      <c r="H16" s="74">
        <v>3</v>
      </c>
      <c r="I16" s="75">
        <v>3</v>
      </c>
      <c r="J16" s="75">
        <v>2</v>
      </c>
      <c r="K16" s="75">
        <v>3</v>
      </c>
      <c r="L16" s="75">
        <v>3</v>
      </c>
      <c r="M16" s="75">
        <v>2</v>
      </c>
      <c r="N16" s="75" t="s">
        <v>33</v>
      </c>
      <c r="O16" s="76">
        <f t="shared" ref="O16:O39" si="0">IFERROR(AVERAGE(D16:N16),"")</f>
        <v>2.8888888888888888</v>
      </c>
      <c r="P16" s="126">
        <f>IF(COUNT(O16:O18)&lt;3,"",AVERAGE(O16:O18))</f>
        <v>3.265993265993266</v>
      </c>
      <c r="Q16" s="127" t="s">
        <v>81</v>
      </c>
    </row>
    <row r="17" spans="1:17" s="32" customFormat="1" ht="27" customHeight="1" x14ac:dyDescent="0.2">
      <c r="A17" s="77" t="s">
        <v>29</v>
      </c>
      <c r="B17" s="125"/>
      <c r="C17" s="125"/>
      <c r="D17" s="78">
        <v>4</v>
      </c>
      <c r="E17" s="26">
        <v>3</v>
      </c>
      <c r="F17" s="26">
        <v>3</v>
      </c>
      <c r="G17" s="26">
        <v>4</v>
      </c>
      <c r="H17" s="26">
        <v>3</v>
      </c>
      <c r="I17" s="26">
        <v>3</v>
      </c>
      <c r="J17" s="26">
        <v>3</v>
      </c>
      <c r="K17" s="26">
        <v>3</v>
      </c>
      <c r="L17" s="26">
        <v>3</v>
      </c>
      <c r="M17" s="26">
        <v>3</v>
      </c>
      <c r="N17" s="26">
        <v>3</v>
      </c>
      <c r="O17" s="76">
        <f t="shared" si="0"/>
        <v>3.1818181818181817</v>
      </c>
      <c r="P17" s="126"/>
      <c r="Q17" s="127"/>
    </row>
    <row r="18" spans="1:17" s="32" customFormat="1" ht="13.6" customHeight="1" x14ac:dyDescent="0.2">
      <c r="A18" s="79" t="s">
        <v>21</v>
      </c>
      <c r="B18" s="125"/>
      <c r="C18" s="125"/>
      <c r="D18" s="78">
        <v>4</v>
      </c>
      <c r="E18" s="26">
        <v>4</v>
      </c>
      <c r="F18" s="26">
        <v>4</v>
      </c>
      <c r="G18" s="26">
        <v>4</v>
      </c>
      <c r="H18" s="26">
        <v>4</v>
      </c>
      <c r="I18" s="26">
        <v>3</v>
      </c>
      <c r="J18" s="26">
        <v>4</v>
      </c>
      <c r="K18" s="26">
        <v>3</v>
      </c>
      <c r="L18" s="26">
        <v>3</v>
      </c>
      <c r="M18" s="26">
        <v>4</v>
      </c>
      <c r="N18" s="26">
        <v>4</v>
      </c>
      <c r="O18" s="76">
        <f t="shared" si="0"/>
        <v>3.7272727272727271</v>
      </c>
      <c r="P18" s="126"/>
      <c r="Q18" s="127"/>
    </row>
    <row r="19" spans="1:17" s="32" customFormat="1" ht="12.75" customHeight="1" x14ac:dyDescent="0.2">
      <c r="A19" s="72" t="s">
        <v>109</v>
      </c>
      <c r="B19" s="125" t="s">
        <v>110</v>
      </c>
      <c r="C19" s="125"/>
      <c r="D19" s="80">
        <v>3</v>
      </c>
      <c r="E19" s="73">
        <v>2</v>
      </c>
      <c r="F19" s="73">
        <v>3</v>
      </c>
      <c r="G19" s="73" t="s">
        <v>33</v>
      </c>
      <c r="H19" s="74">
        <v>3</v>
      </c>
      <c r="I19" s="75">
        <v>2</v>
      </c>
      <c r="J19" s="75">
        <v>2</v>
      </c>
      <c r="K19" s="75">
        <v>3</v>
      </c>
      <c r="L19" s="75">
        <v>3</v>
      </c>
      <c r="M19" s="75">
        <v>2</v>
      </c>
      <c r="N19" s="81" t="s">
        <v>33</v>
      </c>
      <c r="O19" s="82">
        <f t="shared" si="0"/>
        <v>2.5555555555555554</v>
      </c>
      <c r="P19" s="128">
        <f>IF(COUNT(O19:O21)&lt;3,"",AVERAGE(O19:O21))</f>
        <v>2.8821548821548824</v>
      </c>
      <c r="Q19" s="129"/>
    </row>
    <row r="20" spans="1:17" s="32" customFormat="1" ht="23.95" customHeight="1" x14ac:dyDescent="0.2">
      <c r="A20" s="77" t="s">
        <v>29</v>
      </c>
      <c r="B20" s="125"/>
      <c r="C20" s="125"/>
      <c r="D20" s="83">
        <v>3</v>
      </c>
      <c r="E20" s="26">
        <v>3</v>
      </c>
      <c r="F20" s="26">
        <v>3</v>
      </c>
      <c r="G20" s="26">
        <v>3</v>
      </c>
      <c r="H20" s="26">
        <v>3</v>
      </c>
      <c r="I20" s="26">
        <v>3</v>
      </c>
      <c r="J20" s="26">
        <v>3</v>
      </c>
      <c r="K20" s="26">
        <v>3</v>
      </c>
      <c r="L20" s="26">
        <v>3</v>
      </c>
      <c r="M20" s="26">
        <v>3</v>
      </c>
      <c r="N20" s="84">
        <v>3</v>
      </c>
      <c r="O20" s="82">
        <f t="shared" si="0"/>
        <v>3</v>
      </c>
      <c r="P20" s="128"/>
      <c r="Q20" s="129"/>
    </row>
    <row r="21" spans="1:17" s="32" customFormat="1" ht="13.6" customHeight="1" x14ac:dyDescent="0.2">
      <c r="A21" s="79" t="s">
        <v>21</v>
      </c>
      <c r="B21" s="125"/>
      <c r="C21" s="125"/>
      <c r="D21" s="85">
        <v>3</v>
      </c>
      <c r="E21" s="86">
        <v>3</v>
      </c>
      <c r="F21" s="86">
        <v>3</v>
      </c>
      <c r="G21" s="86">
        <v>4</v>
      </c>
      <c r="H21" s="86">
        <v>3</v>
      </c>
      <c r="I21" s="86">
        <v>3</v>
      </c>
      <c r="J21" s="86">
        <v>3</v>
      </c>
      <c r="K21" s="86">
        <v>3</v>
      </c>
      <c r="L21" s="86">
        <v>3</v>
      </c>
      <c r="M21" s="86">
        <v>3</v>
      </c>
      <c r="N21" s="87">
        <v>3</v>
      </c>
      <c r="O21" s="82">
        <f t="shared" si="0"/>
        <v>3.0909090909090908</v>
      </c>
      <c r="P21" s="128"/>
      <c r="Q21" s="129"/>
    </row>
    <row r="22" spans="1:17" s="32" customFormat="1" ht="12.75" customHeight="1" x14ac:dyDescent="0.2">
      <c r="A22" s="72" t="s">
        <v>109</v>
      </c>
      <c r="B22" s="125"/>
      <c r="C22" s="125"/>
      <c r="D22" s="88"/>
      <c r="E22" s="89"/>
      <c r="F22" s="89"/>
      <c r="G22" s="89"/>
      <c r="H22" s="90"/>
      <c r="I22" s="91"/>
      <c r="J22" s="91"/>
      <c r="K22" s="91"/>
      <c r="L22" s="91"/>
      <c r="M22" s="91"/>
      <c r="N22" s="92"/>
      <c r="O22" s="76" t="str">
        <f t="shared" si="0"/>
        <v/>
      </c>
      <c r="P22" s="130" t="str">
        <f>IF(COUNT(O22:O24)&lt;3,"",AVERAGE(O22:O24))</f>
        <v/>
      </c>
      <c r="Q22" s="129"/>
    </row>
    <row r="23" spans="1:17" s="32" customFormat="1" ht="23.95" customHeight="1" x14ac:dyDescent="0.2">
      <c r="A23" s="77" t="s">
        <v>29</v>
      </c>
      <c r="B23" s="125"/>
      <c r="C23" s="125"/>
      <c r="D23" s="93"/>
      <c r="E23" s="94"/>
      <c r="F23" s="94"/>
      <c r="G23" s="94"/>
      <c r="H23" s="94"/>
      <c r="I23" s="94"/>
      <c r="J23" s="94"/>
      <c r="K23" s="94"/>
      <c r="L23" s="94"/>
      <c r="M23" s="94"/>
      <c r="N23" s="95"/>
      <c r="O23" s="76" t="str">
        <f t="shared" si="0"/>
        <v/>
      </c>
      <c r="P23" s="130"/>
      <c r="Q23" s="129"/>
    </row>
    <row r="24" spans="1:17" s="32" customFormat="1" ht="13.6" customHeight="1" x14ac:dyDescent="0.2">
      <c r="A24" s="79" t="s">
        <v>21</v>
      </c>
      <c r="B24" s="125"/>
      <c r="C24" s="125"/>
      <c r="D24" s="96"/>
      <c r="E24" s="97"/>
      <c r="F24" s="97"/>
      <c r="G24" s="97"/>
      <c r="H24" s="97"/>
      <c r="I24" s="97"/>
      <c r="J24" s="97"/>
      <c r="K24" s="97"/>
      <c r="L24" s="97"/>
      <c r="M24" s="97"/>
      <c r="N24" s="98"/>
      <c r="O24" s="76" t="str">
        <f t="shared" si="0"/>
        <v/>
      </c>
      <c r="P24" s="130"/>
      <c r="Q24" s="129"/>
    </row>
    <row r="25" spans="1:17" s="32" customFormat="1" ht="12.75" customHeight="1" x14ac:dyDescent="0.2">
      <c r="A25" s="72" t="s">
        <v>109</v>
      </c>
      <c r="B25" s="125"/>
      <c r="C25" s="125"/>
      <c r="D25" s="88"/>
      <c r="E25" s="89"/>
      <c r="F25" s="89"/>
      <c r="G25" s="89"/>
      <c r="H25" s="90"/>
      <c r="I25" s="91"/>
      <c r="J25" s="91"/>
      <c r="K25" s="91"/>
      <c r="L25" s="91"/>
      <c r="M25" s="91"/>
      <c r="N25" s="92"/>
      <c r="O25" s="76" t="str">
        <f t="shared" si="0"/>
        <v/>
      </c>
      <c r="P25" s="131" t="str">
        <f>IF(COUNT(O25:O27)&lt;3,"",AVERAGE(O25:O27))</f>
        <v/>
      </c>
      <c r="Q25" s="129"/>
    </row>
    <row r="26" spans="1:17" s="32" customFormat="1" ht="23.95" customHeight="1" x14ac:dyDescent="0.2">
      <c r="A26" s="77" t="s">
        <v>29</v>
      </c>
      <c r="B26" s="125"/>
      <c r="C26" s="125"/>
      <c r="D26" s="93"/>
      <c r="E26" s="94"/>
      <c r="F26" s="94"/>
      <c r="G26" s="94"/>
      <c r="H26" s="94"/>
      <c r="I26" s="94"/>
      <c r="J26" s="94"/>
      <c r="K26" s="94"/>
      <c r="L26" s="94"/>
      <c r="M26" s="94"/>
      <c r="N26" s="95"/>
      <c r="O26" s="76" t="str">
        <f t="shared" si="0"/>
        <v/>
      </c>
      <c r="P26" s="131"/>
      <c r="Q26" s="129"/>
    </row>
    <row r="27" spans="1:17" s="32" customFormat="1" ht="13.6" customHeight="1" x14ac:dyDescent="0.2">
      <c r="A27" s="79" t="s">
        <v>21</v>
      </c>
      <c r="B27" s="125"/>
      <c r="C27" s="125"/>
      <c r="D27" s="96"/>
      <c r="E27" s="97"/>
      <c r="F27" s="97"/>
      <c r="G27" s="97"/>
      <c r="H27" s="97"/>
      <c r="I27" s="97"/>
      <c r="J27" s="97"/>
      <c r="K27" s="97"/>
      <c r="L27" s="97"/>
      <c r="M27" s="97"/>
      <c r="N27" s="98"/>
      <c r="O27" s="76" t="str">
        <f t="shared" si="0"/>
        <v/>
      </c>
      <c r="P27" s="131"/>
      <c r="Q27" s="129"/>
    </row>
    <row r="28" spans="1:17" s="32" customFormat="1" ht="12.75" customHeight="1" x14ac:dyDescent="0.2">
      <c r="A28" s="72" t="s">
        <v>109</v>
      </c>
      <c r="B28" s="125"/>
      <c r="C28" s="125"/>
      <c r="D28" s="88"/>
      <c r="E28" s="89"/>
      <c r="F28" s="89"/>
      <c r="G28" s="89"/>
      <c r="H28" s="90"/>
      <c r="I28" s="91"/>
      <c r="J28" s="91"/>
      <c r="K28" s="91"/>
      <c r="L28" s="91"/>
      <c r="M28" s="91"/>
      <c r="N28" s="92"/>
      <c r="O28" s="76" t="str">
        <f t="shared" si="0"/>
        <v/>
      </c>
      <c r="P28" s="132" t="str">
        <f>IF(COUNT(O28:O30)&lt;3,"",AVERAGE(O28:O30))</f>
        <v/>
      </c>
      <c r="Q28" s="129"/>
    </row>
    <row r="29" spans="1:17" s="32" customFormat="1" ht="23.95" customHeight="1" x14ac:dyDescent="0.2">
      <c r="A29" s="77" t="s">
        <v>29</v>
      </c>
      <c r="B29" s="125"/>
      <c r="C29" s="125"/>
      <c r="D29" s="93"/>
      <c r="E29" s="94"/>
      <c r="F29" s="94"/>
      <c r="G29" s="94"/>
      <c r="H29" s="94"/>
      <c r="I29" s="94"/>
      <c r="J29" s="94"/>
      <c r="K29" s="94"/>
      <c r="L29" s="94"/>
      <c r="M29" s="94"/>
      <c r="N29" s="95"/>
      <c r="O29" s="76" t="str">
        <f t="shared" si="0"/>
        <v/>
      </c>
      <c r="P29" s="132"/>
      <c r="Q29" s="129"/>
    </row>
    <row r="30" spans="1:17" s="32" customFormat="1" ht="13.6" customHeight="1" x14ac:dyDescent="0.2">
      <c r="A30" s="79" t="s">
        <v>21</v>
      </c>
      <c r="B30" s="125"/>
      <c r="C30" s="125"/>
      <c r="D30" s="96"/>
      <c r="E30" s="97"/>
      <c r="F30" s="97"/>
      <c r="G30" s="97"/>
      <c r="H30" s="97"/>
      <c r="I30" s="97"/>
      <c r="J30" s="97"/>
      <c r="K30" s="97"/>
      <c r="L30" s="97"/>
      <c r="M30" s="97"/>
      <c r="N30" s="98"/>
      <c r="O30" s="76" t="str">
        <f t="shared" si="0"/>
        <v/>
      </c>
      <c r="P30" s="132"/>
      <c r="Q30" s="129"/>
    </row>
    <row r="31" spans="1:17" s="32" customFormat="1" ht="12.75" customHeight="1" x14ac:dyDescent="0.2">
      <c r="A31" s="72" t="s">
        <v>109</v>
      </c>
      <c r="B31" s="125"/>
      <c r="C31" s="125"/>
      <c r="D31" s="88"/>
      <c r="E31" s="89"/>
      <c r="F31" s="89"/>
      <c r="G31" s="89"/>
      <c r="H31" s="90"/>
      <c r="I31" s="91"/>
      <c r="J31" s="91"/>
      <c r="K31" s="91"/>
      <c r="L31" s="91"/>
      <c r="M31" s="91"/>
      <c r="N31" s="92"/>
      <c r="O31" s="76" t="str">
        <f t="shared" si="0"/>
        <v/>
      </c>
      <c r="P31" s="128" t="str">
        <f>IF(COUNT(O31:O33)&lt;3,"",AVERAGE(O31:O33))</f>
        <v/>
      </c>
      <c r="Q31" s="129"/>
    </row>
    <row r="32" spans="1:17" s="32" customFormat="1" ht="23.95" customHeight="1" x14ac:dyDescent="0.2">
      <c r="A32" s="77" t="s">
        <v>29</v>
      </c>
      <c r="B32" s="125"/>
      <c r="C32" s="125"/>
      <c r="D32" s="93"/>
      <c r="E32" s="94"/>
      <c r="F32" s="94"/>
      <c r="G32" s="94"/>
      <c r="H32" s="94"/>
      <c r="I32" s="94"/>
      <c r="J32" s="94"/>
      <c r="K32" s="94"/>
      <c r="L32" s="94"/>
      <c r="M32" s="94"/>
      <c r="N32" s="95"/>
      <c r="O32" s="76" t="str">
        <f t="shared" si="0"/>
        <v/>
      </c>
      <c r="P32" s="128"/>
      <c r="Q32" s="129"/>
    </row>
    <row r="33" spans="1:17" s="32" customFormat="1" ht="13.6" customHeight="1" x14ac:dyDescent="0.2">
      <c r="A33" s="79" t="s">
        <v>21</v>
      </c>
      <c r="B33" s="125"/>
      <c r="C33" s="125"/>
      <c r="D33" s="96"/>
      <c r="E33" s="97"/>
      <c r="F33" s="97"/>
      <c r="G33" s="97"/>
      <c r="H33" s="97"/>
      <c r="I33" s="97"/>
      <c r="J33" s="97"/>
      <c r="K33" s="97"/>
      <c r="L33" s="97"/>
      <c r="M33" s="97"/>
      <c r="N33" s="98"/>
      <c r="O33" s="76" t="str">
        <f t="shared" si="0"/>
        <v/>
      </c>
      <c r="P33" s="128"/>
      <c r="Q33" s="129"/>
    </row>
    <row r="34" spans="1:17" s="32" customFormat="1" ht="12.75" customHeight="1" x14ac:dyDescent="0.2">
      <c r="A34" s="72" t="s">
        <v>109</v>
      </c>
      <c r="B34" s="125"/>
      <c r="C34" s="125"/>
      <c r="D34" s="88"/>
      <c r="E34" s="89"/>
      <c r="F34" s="89"/>
      <c r="G34" s="89"/>
      <c r="H34" s="90"/>
      <c r="I34" s="91"/>
      <c r="J34" s="91"/>
      <c r="K34" s="91"/>
      <c r="L34" s="91"/>
      <c r="M34" s="91"/>
      <c r="N34" s="92"/>
      <c r="O34" s="76" t="str">
        <f t="shared" si="0"/>
        <v/>
      </c>
      <c r="P34" s="131" t="str">
        <f>IF(COUNT(O34:O36)&lt;3,"",AVERAGE(O34:O36))</f>
        <v/>
      </c>
      <c r="Q34" s="129"/>
    </row>
    <row r="35" spans="1:17" s="32" customFormat="1" ht="23.95" customHeight="1" x14ac:dyDescent="0.2">
      <c r="A35" s="77" t="s">
        <v>29</v>
      </c>
      <c r="B35" s="125"/>
      <c r="C35" s="125"/>
      <c r="D35" s="93"/>
      <c r="E35" s="94"/>
      <c r="F35" s="94"/>
      <c r="G35" s="94"/>
      <c r="H35" s="94"/>
      <c r="I35" s="94"/>
      <c r="J35" s="94"/>
      <c r="K35" s="94"/>
      <c r="L35" s="94"/>
      <c r="M35" s="94"/>
      <c r="N35" s="95"/>
      <c r="O35" s="76" t="str">
        <f t="shared" si="0"/>
        <v/>
      </c>
      <c r="P35" s="131"/>
      <c r="Q35" s="129"/>
    </row>
    <row r="36" spans="1:17" s="32" customFormat="1" ht="13.6" customHeight="1" x14ac:dyDescent="0.2">
      <c r="A36" s="79" t="s">
        <v>21</v>
      </c>
      <c r="B36" s="125"/>
      <c r="C36" s="125"/>
      <c r="D36" s="96"/>
      <c r="E36" s="97"/>
      <c r="F36" s="97"/>
      <c r="G36" s="97"/>
      <c r="H36" s="97"/>
      <c r="I36" s="97"/>
      <c r="J36" s="97"/>
      <c r="K36" s="97"/>
      <c r="L36" s="97"/>
      <c r="M36" s="97"/>
      <c r="N36" s="98"/>
      <c r="O36" s="76" t="str">
        <f t="shared" si="0"/>
        <v/>
      </c>
      <c r="P36" s="131"/>
      <c r="Q36" s="129"/>
    </row>
    <row r="37" spans="1:17" s="32" customFormat="1" ht="12.75" customHeight="1" x14ac:dyDescent="0.2">
      <c r="A37" s="72" t="s">
        <v>109</v>
      </c>
      <c r="B37" s="133"/>
      <c r="C37" s="133"/>
      <c r="D37" s="88"/>
      <c r="E37" s="89"/>
      <c r="F37" s="89"/>
      <c r="G37" s="89"/>
      <c r="H37" s="90"/>
      <c r="I37" s="91"/>
      <c r="J37" s="91"/>
      <c r="K37" s="91"/>
      <c r="L37" s="91"/>
      <c r="M37" s="91"/>
      <c r="N37" s="92"/>
      <c r="O37" s="76" t="str">
        <f t="shared" si="0"/>
        <v/>
      </c>
      <c r="P37" s="130" t="str">
        <f>IF(COUNT(O37:O39)&lt;3,"",AVERAGE(O37:O39))</f>
        <v/>
      </c>
      <c r="Q37" s="129"/>
    </row>
    <row r="38" spans="1:17" s="32" customFormat="1" ht="23.95" customHeight="1" x14ac:dyDescent="0.2">
      <c r="A38" s="77" t="s">
        <v>29</v>
      </c>
      <c r="B38" s="133"/>
      <c r="C38" s="133"/>
      <c r="D38" s="93"/>
      <c r="E38" s="94"/>
      <c r="F38" s="94"/>
      <c r="G38" s="94"/>
      <c r="H38" s="94"/>
      <c r="I38" s="94"/>
      <c r="J38" s="94"/>
      <c r="K38" s="94"/>
      <c r="L38" s="94"/>
      <c r="M38" s="94"/>
      <c r="N38" s="95"/>
      <c r="O38" s="76" t="str">
        <f t="shared" si="0"/>
        <v/>
      </c>
      <c r="P38" s="130"/>
      <c r="Q38" s="129"/>
    </row>
    <row r="39" spans="1:17" s="32" customFormat="1" ht="13.6" customHeight="1" x14ac:dyDescent="0.2">
      <c r="A39" s="79" t="s">
        <v>21</v>
      </c>
      <c r="B39" s="133"/>
      <c r="C39" s="133"/>
      <c r="D39" s="96"/>
      <c r="E39" s="97"/>
      <c r="F39" s="97"/>
      <c r="G39" s="97"/>
      <c r="H39" s="97"/>
      <c r="I39" s="97"/>
      <c r="J39" s="97"/>
      <c r="K39" s="97"/>
      <c r="L39" s="97"/>
      <c r="M39" s="97"/>
      <c r="N39" s="98"/>
      <c r="O39" s="76" t="str">
        <f t="shared" si="0"/>
        <v/>
      </c>
      <c r="P39" s="130"/>
      <c r="Q39" s="129"/>
    </row>
    <row r="40" spans="1:17" s="32" customFormat="1" ht="64.55" customHeight="1" x14ac:dyDescent="0.2">
      <c r="B40" s="99"/>
      <c r="C40" s="99"/>
      <c r="D40" s="100"/>
      <c r="E40" s="101"/>
      <c r="F40" s="101"/>
      <c r="G40" s="102"/>
      <c r="H40" s="102"/>
      <c r="I40" s="102"/>
      <c r="J40" s="102"/>
      <c r="K40" s="102"/>
      <c r="L40" s="102"/>
      <c r="M40" s="102"/>
      <c r="N40" s="102"/>
      <c r="O40" s="76"/>
      <c r="P40" s="103"/>
    </row>
    <row r="41" spans="1:17" s="32" customFormat="1" ht="23.95" customHeight="1" x14ac:dyDescent="0.2">
      <c r="B41" s="134" t="s">
        <v>70</v>
      </c>
      <c r="C41" s="134"/>
      <c r="D41" s="134"/>
      <c r="E41" s="134"/>
      <c r="F41" s="134"/>
      <c r="G41" s="104"/>
    </row>
    <row r="42" spans="1:17" s="32" customFormat="1" ht="12.75" customHeight="1" x14ac:dyDescent="0.2">
      <c r="B42" s="135"/>
      <c r="C42" s="135"/>
      <c r="D42" s="135"/>
      <c r="E42" s="135"/>
      <c r="F42" s="135"/>
      <c r="G42" s="104"/>
    </row>
    <row r="43" spans="1:17" s="32" customFormat="1" ht="12.75" customHeight="1" x14ac:dyDescent="0.2">
      <c r="B43" s="135"/>
      <c r="C43" s="135"/>
      <c r="D43" s="135"/>
      <c r="E43" s="135"/>
      <c r="F43" s="135"/>
      <c r="G43" s="104"/>
    </row>
    <row r="44" spans="1:17" s="32" customFormat="1" ht="12.75" customHeight="1" x14ac:dyDescent="0.2">
      <c r="B44" s="135"/>
      <c r="C44" s="135"/>
      <c r="D44" s="135"/>
      <c r="E44" s="135"/>
      <c r="F44" s="135"/>
      <c r="G44" s="104"/>
    </row>
    <row r="45" spans="1:17" s="32" customFormat="1" ht="12.75" customHeight="1" x14ac:dyDescent="0.2">
      <c r="B45" s="135"/>
      <c r="C45" s="135"/>
      <c r="D45" s="135"/>
      <c r="E45" s="135"/>
      <c r="F45" s="135"/>
      <c r="G45" s="104"/>
    </row>
    <row r="46" spans="1:17" s="32" customFormat="1" ht="12.75" customHeight="1" x14ac:dyDescent="0.2">
      <c r="B46" s="105"/>
      <c r="C46" s="105"/>
      <c r="D46" s="105"/>
      <c r="E46" s="105"/>
      <c r="F46" s="105"/>
      <c r="O46" s="106"/>
    </row>
    <row r="47" spans="1:17" s="32" customFormat="1" ht="12.75" customHeight="1" x14ac:dyDescent="0.2">
      <c r="B47" s="105"/>
      <c r="C47" s="105"/>
      <c r="D47" s="105"/>
      <c r="E47" s="105"/>
      <c r="F47" s="105"/>
      <c r="O47" s="106"/>
    </row>
    <row r="48" spans="1:17" s="32" customFormat="1" ht="12.75" customHeight="1" x14ac:dyDescent="0.2">
      <c r="B48" s="105"/>
      <c r="C48" s="105"/>
      <c r="D48" s="105"/>
      <c r="E48" s="105"/>
      <c r="F48" s="105"/>
      <c r="O48" s="106"/>
    </row>
    <row r="49" spans="4:15" s="32" customFormat="1" ht="10.55" customHeight="1" x14ac:dyDescent="0.2">
      <c r="D49" s="64"/>
      <c r="O49" s="106"/>
    </row>
    <row r="50" spans="4:15" s="32" customFormat="1" ht="10.55" customHeight="1" x14ac:dyDescent="0.2">
      <c r="D50" s="64"/>
      <c r="O50" s="106"/>
    </row>
    <row r="51" spans="4:15" s="32" customFormat="1" ht="10.55" customHeight="1" x14ac:dyDescent="0.2">
      <c r="D51" s="64"/>
      <c r="O51" s="106"/>
    </row>
    <row r="52" spans="4:15" s="32" customFormat="1" ht="10.55" customHeight="1" x14ac:dyDescent="0.2">
      <c r="D52" s="64"/>
      <c r="O52" s="106"/>
    </row>
    <row r="53" spans="4:15" s="32" customFormat="1" ht="10.55" customHeight="1" x14ac:dyDescent="0.2">
      <c r="D53" s="64"/>
      <c r="O53" s="106"/>
    </row>
    <row r="54" spans="4:15" s="32" customFormat="1" ht="10.55" customHeight="1" x14ac:dyDescent="0.2">
      <c r="D54" s="64"/>
      <c r="O54" s="106"/>
    </row>
    <row r="55" spans="4:15" s="32" customFormat="1" ht="10.55" customHeight="1" x14ac:dyDescent="0.2">
      <c r="D55" s="64"/>
      <c r="O55" s="106"/>
    </row>
    <row r="56" spans="4:15" s="32" customFormat="1" ht="10.55" customHeight="1" x14ac:dyDescent="0.2">
      <c r="D56" s="64"/>
      <c r="O56" s="106"/>
    </row>
    <row r="57" spans="4:15" s="32" customFormat="1" ht="10.55" customHeight="1" x14ac:dyDescent="0.2">
      <c r="D57" s="64"/>
      <c r="O57" s="106"/>
    </row>
    <row r="58" spans="4:15" s="32" customFormat="1" ht="10.55" customHeight="1" x14ac:dyDescent="0.2">
      <c r="D58" s="64"/>
      <c r="O58" s="106"/>
    </row>
  </sheetData>
  <mergeCells count="39">
    <mergeCell ref="B37:C39"/>
    <mergeCell ref="P37:P39"/>
    <mergeCell ref="Q37:Q39"/>
    <mergeCell ref="B41:F41"/>
    <mergeCell ref="B42:F45"/>
    <mergeCell ref="B31:C33"/>
    <mergeCell ref="P31:P33"/>
    <mergeCell ref="Q31:Q33"/>
    <mergeCell ref="B34:C36"/>
    <mergeCell ref="P34:P36"/>
    <mergeCell ref="Q34:Q36"/>
    <mergeCell ref="B25:C27"/>
    <mergeCell ref="P25:P27"/>
    <mergeCell ref="Q25:Q27"/>
    <mergeCell ref="B28:C30"/>
    <mergeCell ref="P28:P30"/>
    <mergeCell ref="Q28:Q30"/>
    <mergeCell ref="Q16:Q18"/>
    <mergeCell ref="B19:C21"/>
    <mergeCell ref="P19:P21"/>
    <mergeCell ref="Q19:Q21"/>
    <mergeCell ref="B22:C24"/>
    <mergeCell ref="P22:P24"/>
    <mergeCell ref="Q22:Q24"/>
    <mergeCell ref="E11:G11"/>
    <mergeCell ref="M11:N11"/>
    <mergeCell ref="B15:C15"/>
    <mergeCell ref="B16:C18"/>
    <mergeCell ref="P16:P18"/>
    <mergeCell ref="F8:G8"/>
    <mergeCell ref="M8:N8"/>
    <mergeCell ref="F9:G9"/>
    <mergeCell ref="E10:G10"/>
    <mergeCell ref="M10:N10"/>
    <mergeCell ref="B2:B5"/>
    <mergeCell ref="C2:N3"/>
    <mergeCell ref="C4:N5"/>
    <mergeCell ref="F7:G7"/>
    <mergeCell ref="M7:N7"/>
  </mergeCells>
  <dataValidations count="1">
    <dataValidation type="list" allowBlank="1" sqref="D16:N39" xr:uid="{00000000-0002-0000-0200-000000000000}">
      <formula1>"1,2,3,4,N/A"</formula1>
      <formula2>0</formula2>
    </dataValidation>
  </dataValidations>
  <printOptions horizontalCentered="1"/>
  <pageMargins left="0.75" right="0.75" top="0.196527777777778" bottom="0.196527777777778" header="0.511811023622047" footer="0.511811023622047"/>
  <pageSetup fitToHeight="0" orientation="landscape" horizontalDpi="300" verticalDpi="300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F73"/>
  <sheetViews>
    <sheetView showGridLines="0" zoomScaleNormal="100" workbookViewId="0"/>
  </sheetViews>
  <sheetFormatPr baseColWidth="10" defaultColWidth="8.69921875" defaultRowHeight="12.75" x14ac:dyDescent="0.25"/>
  <cols>
    <col min="1" max="1" width="2" style="15" customWidth="1"/>
    <col min="2" max="2" width="26" style="15" customWidth="1"/>
    <col min="3" max="3" width="62" style="15" customWidth="1"/>
    <col min="4" max="6" width="26" style="15" customWidth="1"/>
  </cols>
  <sheetData>
    <row r="2" spans="2:6" ht="16.100000000000001" x14ac:dyDescent="0.3">
      <c r="B2" s="107" t="s">
        <v>111</v>
      </c>
    </row>
    <row r="3" spans="2:6" x14ac:dyDescent="0.25">
      <c r="B3" s="136" t="s">
        <v>112</v>
      </c>
      <c r="C3" s="136"/>
      <c r="D3" s="136"/>
      <c r="E3" s="136"/>
      <c r="F3" s="136"/>
    </row>
    <row r="5" spans="2:6" ht="14.4" x14ac:dyDescent="0.3">
      <c r="B5" s="108" t="s">
        <v>113</v>
      </c>
    </row>
    <row r="6" spans="2:6" x14ac:dyDescent="0.25">
      <c r="B6" s="21" t="s">
        <v>114</v>
      </c>
      <c r="C6" s="21" t="s">
        <v>115</v>
      </c>
    </row>
    <row r="7" spans="2:6" ht="30.05" customHeight="1" x14ac:dyDescent="0.25">
      <c r="B7" s="25" t="s">
        <v>116</v>
      </c>
      <c r="C7" s="25" t="s">
        <v>117</v>
      </c>
    </row>
    <row r="8" spans="2:6" ht="30.05" customHeight="1" x14ac:dyDescent="0.25">
      <c r="B8" s="25" t="s">
        <v>118</v>
      </c>
      <c r="C8" s="25" t="s">
        <v>119</v>
      </c>
    </row>
    <row r="9" spans="2:6" ht="30.05" customHeight="1" x14ac:dyDescent="0.25">
      <c r="B9" s="25" t="s">
        <v>120</v>
      </c>
      <c r="C9" s="25" t="s">
        <v>121</v>
      </c>
    </row>
    <row r="10" spans="2:6" ht="18" customHeight="1" x14ac:dyDescent="0.25">
      <c r="B10" s="25" t="s">
        <v>122</v>
      </c>
      <c r="C10" s="25" t="s">
        <v>123</v>
      </c>
    </row>
    <row r="12" spans="2:6" ht="14.4" x14ac:dyDescent="0.3">
      <c r="B12" s="108" t="s">
        <v>124</v>
      </c>
    </row>
    <row r="13" spans="2:6" x14ac:dyDescent="0.25">
      <c r="B13" s="21" t="s">
        <v>125</v>
      </c>
      <c r="C13" s="21" t="s">
        <v>126</v>
      </c>
      <c r="D13" s="21" t="s">
        <v>127</v>
      </c>
      <c r="E13" s="21" t="s">
        <v>128</v>
      </c>
    </row>
    <row r="14" spans="2:6" ht="18" customHeight="1" x14ac:dyDescent="0.25">
      <c r="B14" s="25" t="s">
        <v>41</v>
      </c>
      <c r="C14" s="25" t="s">
        <v>42</v>
      </c>
      <c r="D14" s="25" t="s">
        <v>40</v>
      </c>
      <c r="E14" s="25" t="s">
        <v>129</v>
      </c>
    </row>
    <row r="15" spans="2:6" ht="18" customHeight="1" x14ac:dyDescent="0.25">
      <c r="B15" s="25" t="s">
        <v>43</v>
      </c>
      <c r="C15" s="25" t="s">
        <v>44</v>
      </c>
      <c r="D15" s="25" t="s">
        <v>40</v>
      </c>
      <c r="E15" s="25" t="s">
        <v>130</v>
      </c>
    </row>
    <row r="16" spans="2:6" ht="18" customHeight="1" x14ac:dyDescent="0.25">
      <c r="B16" s="25" t="s">
        <v>45</v>
      </c>
      <c r="C16" s="25" t="s">
        <v>46</v>
      </c>
      <c r="D16" s="25" t="s">
        <v>40</v>
      </c>
      <c r="E16" s="25" t="s">
        <v>131</v>
      </c>
    </row>
    <row r="17" spans="2:5" ht="18" customHeight="1" x14ac:dyDescent="0.25">
      <c r="B17" s="25" t="s">
        <v>47</v>
      </c>
      <c r="C17" s="25" t="s">
        <v>48</v>
      </c>
      <c r="D17" s="25" t="s">
        <v>40</v>
      </c>
      <c r="E17" s="25" t="s">
        <v>132</v>
      </c>
    </row>
    <row r="18" spans="2:5" ht="18" customHeight="1" x14ac:dyDescent="0.25">
      <c r="B18" s="25" t="s">
        <v>49</v>
      </c>
      <c r="C18" s="25" t="s">
        <v>50</v>
      </c>
      <c r="D18" s="25" t="s">
        <v>40</v>
      </c>
      <c r="E18" s="25" t="s">
        <v>133</v>
      </c>
    </row>
    <row r="19" spans="2:5" ht="18" customHeight="1" x14ac:dyDescent="0.25">
      <c r="B19" s="25" t="s">
        <v>52</v>
      </c>
      <c r="C19" s="25" t="s">
        <v>53</v>
      </c>
      <c r="D19" s="25" t="s">
        <v>51</v>
      </c>
      <c r="E19" s="25" t="s">
        <v>134</v>
      </c>
    </row>
    <row r="20" spans="2:5" ht="30.05" customHeight="1" x14ac:dyDescent="0.25">
      <c r="B20" s="25" t="s">
        <v>54</v>
      </c>
      <c r="C20" s="25" t="s">
        <v>55</v>
      </c>
      <c r="D20" s="25" t="s">
        <v>51</v>
      </c>
      <c r="E20" s="25" t="s">
        <v>135</v>
      </c>
    </row>
    <row r="21" spans="2:5" ht="18" customHeight="1" x14ac:dyDescent="0.25">
      <c r="B21" s="25" t="s">
        <v>56</v>
      </c>
      <c r="C21" s="25" t="s">
        <v>57</v>
      </c>
      <c r="D21" s="25" t="s">
        <v>51</v>
      </c>
      <c r="E21" s="25" t="s">
        <v>136</v>
      </c>
    </row>
    <row r="22" spans="2:5" ht="18" customHeight="1" x14ac:dyDescent="0.25">
      <c r="B22" s="25" t="s">
        <v>58</v>
      </c>
      <c r="C22" s="25" t="s">
        <v>59</v>
      </c>
      <c r="D22" s="25" t="s">
        <v>51</v>
      </c>
      <c r="E22" s="25" t="s">
        <v>137</v>
      </c>
    </row>
    <row r="23" spans="2:5" ht="30.05" customHeight="1" x14ac:dyDescent="0.25">
      <c r="B23" s="25" t="s">
        <v>60</v>
      </c>
      <c r="C23" s="25" t="s">
        <v>61</v>
      </c>
      <c r="D23" s="25" t="s">
        <v>51</v>
      </c>
      <c r="E23" s="25" t="s">
        <v>138</v>
      </c>
    </row>
    <row r="24" spans="2:5" ht="18" customHeight="1" x14ac:dyDescent="0.25">
      <c r="B24" s="25" t="s">
        <v>63</v>
      </c>
      <c r="C24" s="25" t="s">
        <v>64</v>
      </c>
      <c r="D24" s="25" t="s">
        <v>62</v>
      </c>
      <c r="E24" s="25" t="s">
        <v>139</v>
      </c>
    </row>
    <row r="26" spans="2:5" ht="14.4" x14ac:dyDescent="0.3">
      <c r="B26" s="108" t="s">
        <v>140</v>
      </c>
    </row>
    <row r="27" spans="2:5" x14ac:dyDescent="0.25">
      <c r="B27" s="21" t="s">
        <v>141</v>
      </c>
      <c r="C27" s="21" t="s">
        <v>142</v>
      </c>
      <c r="D27" s="21" t="s">
        <v>143</v>
      </c>
    </row>
    <row r="28" spans="2:5" ht="18" customHeight="1" x14ac:dyDescent="0.25">
      <c r="B28" s="25">
        <v>4</v>
      </c>
      <c r="C28" s="25" t="s">
        <v>31</v>
      </c>
      <c r="D28" s="25" t="s">
        <v>144</v>
      </c>
    </row>
    <row r="29" spans="2:5" ht="18" customHeight="1" x14ac:dyDescent="0.25">
      <c r="B29" s="25">
        <v>3</v>
      </c>
      <c r="C29" s="25" t="s">
        <v>27</v>
      </c>
      <c r="D29" s="25" t="s">
        <v>144</v>
      </c>
    </row>
    <row r="30" spans="2:5" ht="18" customHeight="1" x14ac:dyDescent="0.25">
      <c r="B30" s="25">
        <v>2</v>
      </c>
      <c r="C30" s="25" t="s">
        <v>23</v>
      </c>
      <c r="D30" s="25" t="s">
        <v>144</v>
      </c>
    </row>
    <row r="31" spans="2:5" ht="18" customHeight="1" x14ac:dyDescent="0.25">
      <c r="B31" s="25">
        <v>1</v>
      </c>
      <c r="C31" s="25" t="s">
        <v>19</v>
      </c>
      <c r="D31" s="25" t="s">
        <v>144</v>
      </c>
    </row>
    <row r="32" spans="2:5" ht="18" customHeight="1" x14ac:dyDescent="0.25">
      <c r="B32" s="25" t="s">
        <v>33</v>
      </c>
      <c r="C32" s="25" t="s">
        <v>145</v>
      </c>
      <c r="D32" s="25" t="s">
        <v>146</v>
      </c>
    </row>
    <row r="34" spans="2:5" ht="14.4" x14ac:dyDescent="0.3">
      <c r="B34" s="108" t="s">
        <v>147</v>
      </c>
    </row>
    <row r="35" spans="2:5" x14ac:dyDescent="0.25">
      <c r="B35" s="21" t="s">
        <v>148</v>
      </c>
      <c r="C35" s="21" t="s">
        <v>149</v>
      </c>
      <c r="D35" s="21" t="s">
        <v>150</v>
      </c>
      <c r="E35" s="21" t="s">
        <v>151</v>
      </c>
    </row>
    <row r="36" spans="2:5" ht="18" customHeight="1" x14ac:dyDescent="0.25">
      <c r="B36" s="25" t="s">
        <v>152</v>
      </c>
      <c r="C36" s="25" t="s">
        <v>21</v>
      </c>
      <c r="D36" s="25" t="s">
        <v>153</v>
      </c>
      <c r="E36" s="25" t="s">
        <v>154</v>
      </c>
    </row>
    <row r="37" spans="2:5" ht="30.05" customHeight="1" x14ac:dyDescent="0.25">
      <c r="B37" s="25" t="s">
        <v>155</v>
      </c>
      <c r="C37" s="25" t="s">
        <v>25</v>
      </c>
      <c r="D37" s="25" t="s">
        <v>156</v>
      </c>
      <c r="E37" s="25" t="s">
        <v>157</v>
      </c>
    </row>
    <row r="38" spans="2:5" ht="30.05" customHeight="1" x14ac:dyDescent="0.25">
      <c r="B38" s="25" t="s">
        <v>158</v>
      </c>
      <c r="C38" s="25" t="s">
        <v>29</v>
      </c>
      <c r="D38" s="25" t="s">
        <v>159</v>
      </c>
      <c r="E38" s="25" t="s">
        <v>157</v>
      </c>
    </row>
    <row r="39" spans="2:5" ht="30.05" customHeight="1" x14ac:dyDescent="0.25">
      <c r="B39" s="25" t="s">
        <v>160</v>
      </c>
      <c r="C39" s="25" t="s">
        <v>9</v>
      </c>
      <c r="D39" s="25" t="s">
        <v>161</v>
      </c>
      <c r="E39" s="25" t="s">
        <v>162</v>
      </c>
    </row>
    <row r="41" spans="2:5" ht="14.4" x14ac:dyDescent="0.3">
      <c r="B41" s="108" t="s">
        <v>163</v>
      </c>
    </row>
    <row r="42" spans="2:5" x14ac:dyDescent="0.25">
      <c r="B42" s="21" t="s">
        <v>164</v>
      </c>
      <c r="C42" s="21" t="s">
        <v>165</v>
      </c>
      <c r="D42" s="21" t="s">
        <v>166</v>
      </c>
    </row>
    <row r="43" spans="2:5" ht="18" customHeight="1" x14ac:dyDescent="0.25">
      <c r="B43" s="25" t="s">
        <v>167</v>
      </c>
      <c r="C43" s="25" t="s">
        <v>168</v>
      </c>
      <c r="D43" s="25" t="s">
        <v>169</v>
      </c>
    </row>
    <row r="44" spans="2:5" ht="30.05" customHeight="1" x14ac:dyDescent="0.25">
      <c r="B44" s="25" t="s">
        <v>170</v>
      </c>
      <c r="C44" s="25" t="s">
        <v>171</v>
      </c>
      <c r="D44" s="25" t="s">
        <v>172</v>
      </c>
    </row>
    <row r="45" spans="2:5" ht="30.05" customHeight="1" x14ac:dyDescent="0.25">
      <c r="B45" s="25" t="s">
        <v>173</v>
      </c>
      <c r="C45" s="25" t="s">
        <v>174</v>
      </c>
      <c r="D45" s="25" t="s">
        <v>175</v>
      </c>
    </row>
    <row r="46" spans="2:5" ht="18" customHeight="1" x14ac:dyDescent="0.25">
      <c r="B46" s="25" t="s">
        <v>176</v>
      </c>
      <c r="C46" s="25" t="s">
        <v>177</v>
      </c>
      <c r="D46" s="25" t="s">
        <v>178</v>
      </c>
    </row>
    <row r="47" spans="2:5" ht="30.05" customHeight="1" x14ac:dyDescent="0.25">
      <c r="B47" s="25" t="s">
        <v>179</v>
      </c>
      <c r="C47" s="25" t="s">
        <v>180</v>
      </c>
      <c r="D47" s="25" t="s">
        <v>181</v>
      </c>
    </row>
    <row r="48" spans="2:5" ht="18" customHeight="1" x14ac:dyDescent="0.25">
      <c r="B48" s="25" t="s">
        <v>182</v>
      </c>
      <c r="C48" s="25" t="s">
        <v>183</v>
      </c>
      <c r="D48" s="25" t="s">
        <v>184</v>
      </c>
    </row>
    <row r="49" spans="2:4" ht="18" customHeight="1" x14ac:dyDescent="0.25">
      <c r="B49" s="25" t="s">
        <v>185</v>
      </c>
      <c r="C49" s="25" t="s">
        <v>186</v>
      </c>
      <c r="D49" s="25" t="s">
        <v>187</v>
      </c>
    </row>
    <row r="51" spans="2:4" ht="14.4" x14ac:dyDescent="0.3">
      <c r="B51" s="108" t="s">
        <v>188</v>
      </c>
    </row>
    <row r="52" spans="2:4" x14ac:dyDescent="0.25">
      <c r="B52" s="21" t="s">
        <v>189</v>
      </c>
      <c r="C52" s="21" t="s">
        <v>190</v>
      </c>
    </row>
    <row r="53" spans="2:4" ht="18" customHeight="1" x14ac:dyDescent="0.25">
      <c r="B53" s="25" t="s">
        <v>191</v>
      </c>
      <c r="C53" s="25" t="s">
        <v>192</v>
      </c>
    </row>
    <row r="54" spans="2:4" ht="18" customHeight="1" x14ac:dyDescent="0.25">
      <c r="B54" s="25" t="s">
        <v>193</v>
      </c>
      <c r="C54" s="25" t="s">
        <v>194</v>
      </c>
    </row>
    <row r="55" spans="2:4" ht="18" customHeight="1" x14ac:dyDescent="0.25">
      <c r="B55" s="25" t="s">
        <v>195</v>
      </c>
      <c r="C55" s="25" t="s">
        <v>196</v>
      </c>
    </row>
    <row r="56" spans="2:4" ht="30.05" customHeight="1" x14ac:dyDescent="0.25">
      <c r="B56" s="25" t="s">
        <v>197</v>
      </c>
      <c r="C56" s="25" t="s">
        <v>198</v>
      </c>
    </row>
    <row r="58" spans="2:4" ht="14.4" x14ac:dyDescent="0.3">
      <c r="B58" s="108" t="s">
        <v>199</v>
      </c>
    </row>
    <row r="59" spans="2:4" x14ac:dyDescent="0.25">
      <c r="B59" s="21" t="s">
        <v>200</v>
      </c>
      <c r="C59" s="21" t="s">
        <v>201</v>
      </c>
      <c r="D59" s="21" t="s">
        <v>202</v>
      </c>
    </row>
    <row r="60" spans="2:4" ht="18" customHeight="1" x14ac:dyDescent="0.25">
      <c r="B60" s="25" t="s">
        <v>203</v>
      </c>
      <c r="C60" s="25" t="s">
        <v>204</v>
      </c>
      <c r="D60" s="25" t="s">
        <v>205</v>
      </c>
    </row>
    <row r="61" spans="2:4" ht="18" customHeight="1" x14ac:dyDescent="0.25">
      <c r="B61" s="25" t="s">
        <v>206</v>
      </c>
      <c r="C61" s="25" t="s">
        <v>207</v>
      </c>
      <c r="D61" s="25" t="s">
        <v>208</v>
      </c>
    </row>
    <row r="62" spans="2:4" ht="18" customHeight="1" x14ac:dyDescent="0.25">
      <c r="B62" s="25" t="s">
        <v>209</v>
      </c>
      <c r="C62" s="25" t="s">
        <v>210</v>
      </c>
      <c r="D62" s="25" t="s">
        <v>211</v>
      </c>
    </row>
    <row r="63" spans="2:4" ht="18" customHeight="1" x14ac:dyDescent="0.25">
      <c r="B63" s="25" t="s">
        <v>212</v>
      </c>
      <c r="C63" s="25" t="s">
        <v>213</v>
      </c>
      <c r="D63" s="25" t="s">
        <v>214</v>
      </c>
    </row>
    <row r="64" spans="2:4" ht="18" customHeight="1" x14ac:dyDescent="0.25">
      <c r="B64" s="25" t="s">
        <v>189</v>
      </c>
      <c r="C64" s="25" t="s">
        <v>215</v>
      </c>
      <c r="D64" s="25" t="s">
        <v>216</v>
      </c>
    </row>
    <row r="65" spans="2:4" ht="18" customHeight="1" x14ac:dyDescent="0.25">
      <c r="B65" s="25" t="s">
        <v>217</v>
      </c>
      <c r="C65" s="25" t="s">
        <v>218</v>
      </c>
      <c r="D65" s="25" t="s">
        <v>219</v>
      </c>
    </row>
    <row r="66" spans="2:4" ht="18" customHeight="1" x14ac:dyDescent="0.25">
      <c r="B66" s="25" t="s">
        <v>220</v>
      </c>
      <c r="C66" s="25" t="s">
        <v>221</v>
      </c>
      <c r="D66" s="25" t="s">
        <v>222</v>
      </c>
    </row>
    <row r="67" spans="2:4" ht="18" customHeight="1" x14ac:dyDescent="0.25">
      <c r="B67" s="25" t="s">
        <v>223</v>
      </c>
      <c r="C67" s="25" t="s">
        <v>224</v>
      </c>
      <c r="D67" s="25" t="s">
        <v>225</v>
      </c>
    </row>
    <row r="68" spans="2:4" ht="30.05" customHeight="1" x14ac:dyDescent="0.25">
      <c r="B68" s="25" t="s">
        <v>226</v>
      </c>
      <c r="C68" s="25" t="s">
        <v>227</v>
      </c>
      <c r="D68" s="25" t="s">
        <v>228</v>
      </c>
    </row>
    <row r="70" spans="2:4" ht="14.4" x14ac:dyDescent="0.3">
      <c r="B70" s="108" t="s">
        <v>229</v>
      </c>
    </row>
    <row r="71" spans="2:4" x14ac:dyDescent="0.25">
      <c r="B71" s="109" t="s">
        <v>230</v>
      </c>
    </row>
    <row r="72" spans="2:4" x14ac:dyDescent="0.25">
      <c r="B72" s="109" t="s">
        <v>231</v>
      </c>
    </row>
    <row r="73" spans="2:4" x14ac:dyDescent="0.25">
      <c r="B73" s="109" t="s">
        <v>232</v>
      </c>
    </row>
  </sheetData>
  <mergeCells count="1">
    <mergeCell ref="B3:F3"/>
  </mergeCells>
  <pageMargins left="0.75" right="0.75" top="1" bottom="1" header="0.511811023622047" footer="0.511811023622047"/>
  <pageSetup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</vt:i4>
      </vt:variant>
    </vt:vector>
  </HeadingPairs>
  <TitlesOfParts>
    <vt:vector size="7" baseType="lpstr">
      <vt:lpstr>Formato individual (PDF)</vt:lpstr>
      <vt:lpstr>Ejemplo diligenciado</vt:lpstr>
      <vt:lpstr>Consolidado semestral</vt:lpstr>
      <vt:lpstr>Especificación</vt:lpstr>
      <vt:lpstr>'Consolidado semestral'!Área_de_impresión</vt:lpstr>
      <vt:lpstr>'Ejemplo diligenciado'!Área_de_impresión</vt:lpstr>
      <vt:lpstr>'Formato individual (PDF)'!Área_de_impresión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Miguel Peñuela</cp:lastModifiedBy>
  <cp:revision>0</cp:revision>
  <cp:lastPrinted>2024-07-18T15:54:52Z</cp:lastPrinted>
  <dcterms:created xsi:type="dcterms:W3CDTF">2023-01-12T20:02:28Z</dcterms:created>
  <dcterms:modified xsi:type="dcterms:W3CDTF">2026-10-14T16:09:54Z</dcterms:modified>
  <dc:language>en-US</dc:language>
</cp:coreProperties>
</file>