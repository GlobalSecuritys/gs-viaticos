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VENTARIO GENERAL" sheetId="1" r:id="rId5"/>
    <sheet state="visible" name="CANTIDAD TOTAL" sheetId="2" r:id="rId6"/>
    <sheet state="visible" name="SALIDAS " sheetId="3" r:id="rId7"/>
    <sheet state="visible" name="PRESTAMOS" sheetId="4" r:id="rId8"/>
    <sheet state="visible" name="GUSTAVO RAMIREZ" sheetId="5" r:id="rId9"/>
    <sheet state="visible" name="LUCAS RICO" sheetId="6" r:id="rId10"/>
    <sheet state="visible" name="LUIS ANGULO" sheetId="7" r:id="rId11"/>
    <sheet state="visible" name="HECTOR JAVIER CORTES " sheetId="8" r:id="rId12"/>
    <sheet state="visible" name="WILLIAM RUIZ" sheetId="9" r:id="rId13"/>
    <sheet state="visible" name="NELSON VARGAS " sheetId="10" r:id="rId14"/>
    <sheet state="hidden" name="FILTRO ACTA" sheetId="11" r:id="rId15"/>
  </sheets>
  <definedNames>
    <definedName hidden="1" localSheetId="0" name="_xlnm._FilterDatabase">'INVENTARIO GENERAL'!$A$1:$L$338</definedName>
    <definedName hidden="1" localSheetId="2" name="_xlnm._FilterDatabase">'SALIDAS '!$A$1:$P$939</definedName>
  </definedNames>
  <calcPr/>
  <pivotCaches>
    <pivotCache cacheId="0" r:id="rId16"/>
  </pivotCaches>
</workbook>
</file>

<file path=xl/sharedStrings.xml><?xml version="1.0" encoding="utf-8"?>
<sst xmlns="http://schemas.openxmlformats.org/spreadsheetml/2006/main" count="8966" uniqueCount="1259">
  <si>
    <t>DESCRIPCIÓN</t>
  </si>
  <si>
    <t xml:space="preserve">CANTIDAD </t>
  </si>
  <si>
    <t>BASE CON RELE PARA SENSOR DE HUMO MSR-320</t>
  </si>
  <si>
    <t>FECHA COMPRA
EQUIPO</t>
  </si>
  <si>
    <t>BASE DETECTOR BOSCH FCA - 350 - B6R12</t>
  </si>
  <si>
    <t>BOTON DE PANICO FIJO BOSCH ISC-PB1-100</t>
  </si>
  <si>
    <t>COMUNICADOR BOSCH B444-G</t>
  </si>
  <si>
    <t>FACTURA</t>
  </si>
  <si>
    <t>INFRARROJO ANTIMASKING BOSCH CDL2-A12</t>
  </si>
  <si>
    <t xml:space="preserve">RADIO RECEPTOR BOSCH B810 </t>
  </si>
  <si>
    <t>SENSOR DE HUMO FCP - 350 - PTH</t>
  </si>
  <si>
    <t xml:space="preserve">TECLARO BOSCH B925 F </t>
  </si>
  <si>
    <t>CODIGO DE 
BARRAS</t>
  </si>
  <si>
    <t>FECHA</t>
  </si>
  <si>
    <t>No SDS</t>
  </si>
  <si>
    <t xml:space="preserve">No SDS </t>
  </si>
  <si>
    <t>ID. EQUIPO</t>
  </si>
  <si>
    <t>CANTIDAD TOTAL</t>
  </si>
  <si>
    <t>SDS - 1045818</t>
  </si>
  <si>
    <t>SERIALES GSB</t>
  </si>
  <si>
    <t>CONCATENADO</t>
  </si>
  <si>
    <t>SDS - 1033098</t>
  </si>
  <si>
    <t xml:space="preserve">OFICINA </t>
  </si>
  <si>
    <t>TECNICO</t>
  </si>
  <si>
    <t>FECHA DE DESPACHO</t>
  </si>
  <si>
    <t xml:space="preserve">OBSERVACION </t>
  </si>
  <si>
    <t xml:space="preserve">NUMERO DE ORDEN </t>
  </si>
  <si>
    <t>OFICINA INSTALDA</t>
  </si>
  <si>
    <t>3 MANECTICOS</t>
  </si>
  <si>
    <t>BASE DETECTOR DE HUMO ECO 1000</t>
  </si>
  <si>
    <t>FECHA DE INSTALACION</t>
  </si>
  <si>
    <t>BATERIA CARGA SECA 12V - 7A</t>
  </si>
  <si>
    <t>BOTON DE PANICO RESIDEO 270R</t>
  </si>
  <si>
    <t>CARRETA DE CABLE UTP CAT 5E</t>
  </si>
  <si>
    <t>SDS / 62405</t>
  </si>
  <si>
    <t>N/A</t>
  </si>
  <si>
    <t xml:space="preserve">CONTACTO MAGNETICO LIVIANO </t>
  </si>
  <si>
    <t>CONTACTO MAGNETICO PESADO RESIDEO</t>
  </si>
  <si>
    <t>SDS - 1045637</t>
  </si>
  <si>
    <t>DETECTOR DE MOVIMIENTO BOSCH DS9370</t>
  </si>
  <si>
    <t>F01U412899</t>
  </si>
  <si>
    <t>DETECTOR DE TEMPERATURA 502</t>
  </si>
  <si>
    <t>DETECTOR DE TEMPERATURA BOSCH FCH - T320-R470</t>
  </si>
  <si>
    <t>DETECTOR SISMICO ISN-SM-50</t>
  </si>
  <si>
    <t>042257953910020113</t>
  </si>
  <si>
    <t>DISCRIMINADOR DE AUDIO BOSCH DS11021I</t>
  </si>
  <si>
    <t>EXPANSOR DE ZONAS HONEYWELL 4219</t>
  </si>
  <si>
    <t>FUENTE REGULADORA DE 6/12/24 VCD 3A</t>
  </si>
  <si>
    <t>FUENTE REGULAR DE 5</t>
  </si>
  <si>
    <t>INFRARROJO ANTIMASKING BOSCH CDL2-A15</t>
  </si>
  <si>
    <t>INFRARROJO SENCILLO ISC-BDL2-WP12</t>
  </si>
  <si>
    <t>MODULO DE RELEVOS BOSCH B308</t>
  </si>
  <si>
    <t>MODULO DE RELEVOS HONEYWELL 4204</t>
  </si>
  <si>
    <t xml:space="preserve">KIT  </t>
  </si>
  <si>
    <t>PANEL BOSCH B8512G</t>
  </si>
  <si>
    <t>LUCAS RICO</t>
  </si>
  <si>
    <t>PANEL BOSCH B9512G</t>
  </si>
  <si>
    <t>PLACA DE MONTAJE PARA SENSOR SISMICO GMXPO</t>
  </si>
  <si>
    <t>09/01/0206</t>
  </si>
  <si>
    <t xml:space="preserve">PULSADOR DE PANICO INALAMBRICO BOSCH RFPB-SB </t>
  </si>
  <si>
    <t xml:space="preserve">MANTENIMIENTO </t>
  </si>
  <si>
    <t>SENSOR DE HUMO OPTICO FCP-0320-R470</t>
  </si>
  <si>
    <t>SDS - 1045640</t>
  </si>
  <si>
    <t>SENSOR DE MOVIMIENTO HONEYWELL IS3035</t>
  </si>
  <si>
    <t>SIRENA DOBLE TONO 30W-120 DB-D117</t>
  </si>
  <si>
    <t>DONCELLO CAQUETA</t>
  </si>
  <si>
    <t>TECLADO BOSCH B920</t>
  </si>
  <si>
    <t>TRANSFORMADOR AD 1361-GT 16.5V B</t>
  </si>
  <si>
    <t>042257953910020103</t>
  </si>
  <si>
    <t>SDS - 1045643</t>
  </si>
  <si>
    <t>BELEN BOYACA</t>
  </si>
  <si>
    <t>F01U364820</t>
  </si>
  <si>
    <t>042163653706100266</t>
  </si>
  <si>
    <t>SDS - 1045648</t>
  </si>
  <si>
    <t xml:space="preserve">MERCADERES CAUCA </t>
  </si>
  <si>
    <t>042163653706100222</t>
  </si>
  <si>
    <t>SDS - 1045645</t>
  </si>
  <si>
    <t>TIMBIQUI CAUCA</t>
  </si>
  <si>
    <t>SDS - 1045642</t>
  </si>
  <si>
    <t>042163653706100216</t>
  </si>
  <si>
    <t>SDS - 1045639</t>
  </si>
  <si>
    <t>SDS - 1045636</t>
  </si>
  <si>
    <t>042257948004020010</t>
  </si>
  <si>
    <t>SDS - 1045606</t>
  </si>
  <si>
    <t>MUTATA</t>
  </si>
  <si>
    <t>NELSON VARGAS</t>
  </si>
  <si>
    <t>SDS - 1045600</t>
  </si>
  <si>
    <t>MUTATA ANTIOQUIA</t>
  </si>
  <si>
    <t>SDS - 1045594</t>
  </si>
  <si>
    <t>042163653706100227</t>
  </si>
  <si>
    <t>SDS - 1045603</t>
  </si>
  <si>
    <t>042163647801100583</t>
  </si>
  <si>
    <t>SDS - 1045597</t>
  </si>
  <si>
    <t>TADO CHOCO</t>
  </si>
  <si>
    <t>SDS</t>
  </si>
  <si>
    <t>FO1U383394</t>
  </si>
  <si>
    <t>042180244030100044</t>
  </si>
  <si>
    <t xml:space="preserve">CHINU - CORDOBA </t>
  </si>
  <si>
    <t>SDS - 1045607</t>
  </si>
  <si>
    <t xml:space="preserve">JOSE URANGO </t>
  </si>
  <si>
    <t>CHINÚ CÓRDOBA</t>
  </si>
  <si>
    <t>SDS - 1045604</t>
  </si>
  <si>
    <t>092256847892120285</t>
  </si>
  <si>
    <t>VILLAGARZON</t>
  </si>
  <si>
    <t>RTC</t>
  </si>
  <si>
    <t>SDS - 1045601</t>
  </si>
  <si>
    <t xml:space="preserve">UNION VALLE </t>
  </si>
  <si>
    <t>042257953720020164</t>
  </si>
  <si>
    <t>F01U002248</t>
  </si>
  <si>
    <t>SDS - 1045598</t>
  </si>
  <si>
    <t xml:space="preserve">RIOBLANCO TOLIMA </t>
  </si>
  <si>
    <t>LA TEBAIDA CALDAS</t>
  </si>
  <si>
    <t>GUSTAVO RAMIREZ</t>
  </si>
  <si>
    <t>RIO BLANCO TOLIMA</t>
  </si>
  <si>
    <t>SDS - 1045609</t>
  </si>
  <si>
    <t>LA VEGA CAUCA</t>
  </si>
  <si>
    <t>042257948004020028</t>
  </si>
  <si>
    <t>LA MERCED CALDAS</t>
  </si>
  <si>
    <t>SDS - 1045621</t>
  </si>
  <si>
    <t>042163653706100213</t>
  </si>
  <si>
    <t xml:space="preserve">BODEGA </t>
  </si>
  <si>
    <t>SDS - 1045624</t>
  </si>
  <si>
    <t>042163653706100268</t>
  </si>
  <si>
    <t>042163653706100215</t>
  </si>
  <si>
    <t>SDS - 1045627</t>
  </si>
  <si>
    <t>SDS1034729</t>
  </si>
  <si>
    <t>RIO FRIO VALLE</t>
  </si>
  <si>
    <t>SDS1034703</t>
  </si>
  <si>
    <t>SDS - 1045630</t>
  </si>
  <si>
    <t>F01U029857</t>
  </si>
  <si>
    <t>SENSOR DE HUMO OPTICO FCP-032-R470</t>
  </si>
  <si>
    <t>093140347576520038</t>
  </si>
  <si>
    <t>SDS - 1045633</t>
  </si>
  <si>
    <t>093140347576520115</t>
  </si>
  <si>
    <t>SDS - 1045641</t>
  </si>
  <si>
    <t>6010-00699-26</t>
  </si>
  <si>
    <t xml:space="preserve">FUENTE DE POWER </t>
  </si>
  <si>
    <t>SDS - 1045644</t>
  </si>
  <si>
    <t>GINEBRA</t>
  </si>
  <si>
    <t>MANTENIMIENTO</t>
  </si>
  <si>
    <t xml:space="preserve">GINEBRA VALLE </t>
  </si>
  <si>
    <t>SDS - 1045595</t>
  </si>
  <si>
    <t>LORICA</t>
  </si>
  <si>
    <t>F01U397732</t>
  </si>
  <si>
    <t>KIT RUTA SANTANDER</t>
  </si>
  <si>
    <t>FREDDY ARIAS</t>
  </si>
  <si>
    <t>31-01-0206</t>
  </si>
  <si>
    <t>BARBOSA SANTANDER</t>
  </si>
  <si>
    <t>F01U397739</t>
  </si>
  <si>
    <t>SDS - 1045647</t>
  </si>
  <si>
    <t>092256847706150190</t>
  </si>
  <si>
    <t>KIT</t>
  </si>
  <si>
    <t xml:space="preserve">HECTOR JAVIER CORTES </t>
  </si>
  <si>
    <t>OCAÑA</t>
  </si>
  <si>
    <t>SDS - 1045646</t>
  </si>
  <si>
    <t>CARCASI</t>
  </si>
  <si>
    <t>SDS-1043596</t>
  </si>
  <si>
    <t>042257948004020043</t>
  </si>
  <si>
    <t>HACARI NORTE DE SANTANDER</t>
  </si>
  <si>
    <t>MOLAGAVITA</t>
  </si>
  <si>
    <t>SDS-1040392</t>
  </si>
  <si>
    <t>042163653728100364</t>
  </si>
  <si>
    <t>SDS-1043575</t>
  </si>
  <si>
    <t>042257953910020080</t>
  </si>
  <si>
    <t>SDS-1043621</t>
  </si>
  <si>
    <t>PIENDAMO -CAUCA</t>
  </si>
  <si>
    <t>SDS-1043636</t>
  </si>
  <si>
    <t>042257953910020083</t>
  </si>
  <si>
    <t>F01U406041</t>
  </si>
  <si>
    <t>042247244018010037</t>
  </si>
  <si>
    <t>SDS-1043618</t>
  </si>
  <si>
    <t>CARTAGENA / CHAIRA</t>
  </si>
  <si>
    <t>CARTAGENA</t>
  </si>
  <si>
    <t>SDS-1043617</t>
  </si>
  <si>
    <t>092256847892120284</t>
  </si>
  <si>
    <t>PROVIDENCIA - ARCHIPIELAGO</t>
  </si>
  <si>
    <t>SDS-1040387</t>
  </si>
  <si>
    <t>092256847892120305</t>
  </si>
  <si>
    <t>SDS-1040406</t>
  </si>
  <si>
    <t>092256847892120298</t>
  </si>
  <si>
    <t>SDS-1043595</t>
  </si>
  <si>
    <t>092256847706150192</t>
  </si>
  <si>
    <t>SDS-1043580</t>
  </si>
  <si>
    <t>092256847591000858</t>
  </si>
  <si>
    <t>SDS-1043584</t>
  </si>
  <si>
    <t>092256847892120288</t>
  </si>
  <si>
    <t>SAN ANDRES DE ISLA</t>
  </si>
  <si>
    <t>SDS-1043622</t>
  </si>
  <si>
    <t>FO1U382454</t>
  </si>
  <si>
    <t xml:space="preserve">TECLADO BOSCH B925 F </t>
  </si>
  <si>
    <t>042174644023100004</t>
  </si>
  <si>
    <t>SDS-1043599</t>
  </si>
  <si>
    <t>042174653720100086</t>
  </si>
  <si>
    <t>SENSOR DE HUMO BOSCH</t>
  </si>
  <si>
    <t>SDS-1033589</t>
  </si>
  <si>
    <t>SDS-1043600</t>
  </si>
  <si>
    <t>042186337611100232</t>
  </si>
  <si>
    <t>092256847892120303</t>
  </si>
  <si>
    <t>092256853963290434</t>
  </si>
  <si>
    <t>SDS-1043623</t>
  </si>
  <si>
    <t>092256847892120119</t>
  </si>
  <si>
    <t>092256847591000857</t>
  </si>
  <si>
    <t>F01U413581</t>
  </si>
  <si>
    <t>042259543919100006</t>
  </si>
  <si>
    <t>SDS-1043583</t>
  </si>
  <si>
    <t>092256847892120444</t>
  </si>
  <si>
    <t>SDS-1043572</t>
  </si>
  <si>
    <t>092256847517520241</t>
  </si>
  <si>
    <t>SDS-1043631</t>
  </si>
  <si>
    <t>092256847706150196</t>
  </si>
  <si>
    <t>SDS-1043640</t>
  </si>
  <si>
    <t>092256847892120301</t>
  </si>
  <si>
    <t>SDS-1043592</t>
  </si>
  <si>
    <t>SDS-1043576</t>
  </si>
  <si>
    <t>092256847892120459</t>
  </si>
  <si>
    <t>SDS-1043591</t>
  </si>
  <si>
    <t>092256847591000746</t>
  </si>
  <si>
    <t>SDS/1044588</t>
  </si>
  <si>
    <t>092256847892120304</t>
  </si>
  <si>
    <t>SDS/1044591</t>
  </si>
  <si>
    <t>092256847888940013</t>
  </si>
  <si>
    <t>SDS/1044582</t>
  </si>
  <si>
    <t>092256847892120295</t>
  </si>
  <si>
    <t>SDS/1044583</t>
  </si>
  <si>
    <t>092256847706150185</t>
  </si>
  <si>
    <t>SDS/1044584</t>
  </si>
  <si>
    <t>SDS/1044589</t>
  </si>
  <si>
    <t>042247244018010011</t>
  </si>
  <si>
    <t>SDS/1044586</t>
  </si>
  <si>
    <t>042257953720020162</t>
  </si>
  <si>
    <t>SDS-1040405</t>
  </si>
  <si>
    <t>042257948004020006</t>
  </si>
  <si>
    <t>042257953910020102</t>
  </si>
  <si>
    <t>SDS / 59978</t>
  </si>
  <si>
    <t>SDS - 1032926</t>
  </si>
  <si>
    <t>092256847706150382</t>
  </si>
  <si>
    <t>SDS - 1037100</t>
  </si>
  <si>
    <t>092256847892120799</t>
  </si>
  <si>
    <t>SDS - 1032361</t>
  </si>
  <si>
    <t>092256843997580485</t>
  </si>
  <si>
    <t>SDS - 1032359</t>
  </si>
  <si>
    <t>092256847517520244</t>
  </si>
  <si>
    <t>SDS - 1032938</t>
  </si>
  <si>
    <t>092256847706150380</t>
  </si>
  <si>
    <t>SDS - 1032391</t>
  </si>
  <si>
    <t>092256843997580474</t>
  </si>
  <si>
    <t>SDS - 1032375</t>
  </si>
  <si>
    <t>092256847517520243</t>
  </si>
  <si>
    <t>SDS - 1032381</t>
  </si>
  <si>
    <t>092256847591000839</t>
  </si>
  <si>
    <t>SDS/1032985</t>
  </si>
  <si>
    <t>092256847706150248</t>
  </si>
  <si>
    <t>SDS / 62406</t>
  </si>
  <si>
    <t>SDS - 1045888</t>
  </si>
  <si>
    <t>SDS - 1045862</t>
  </si>
  <si>
    <t xml:space="preserve">LUIS ANGULO </t>
  </si>
  <si>
    <t>SDS - 1045909</t>
  </si>
  <si>
    <t>F01U003366</t>
  </si>
  <si>
    <t>SDS - 1045898</t>
  </si>
  <si>
    <t>042180247323100014</t>
  </si>
  <si>
    <t>SDS - 1045923</t>
  </si>
  <si>
    <t>SDS - 1045897</t>
  </si>
  <si>
    <t>042174648004100019</t>
  </si>
  <si>
    <t>SDS - 1045873</t>
  </si>
  <si>
    <t>SENSOR DE MOVIMIENTO PARA EXTERIORES OD850</t>
  </si>
  <si>
    <t>042174644023100003</t>
  </si>
  <si>
    <t>092051354088750059</t>
  </si>
  <si>
    <t>SDS - 1045876</t>
  </si>
  <si>
    <t>092256847706150197</t>
  </si>
  <si>
    <t xml:space="preserve">SAN ÁNGEL - LA GLORIA CÉSAR 
</t>
  </si>
  <si>
    <t>LUIS ANGULO</t>
  </si>
  <si>
    <t>SDS - 1045854</t>
  </si>
  <si>
    <t>LA GLORIA CESAR</t>
  </si>
  <si>
    <t>SDS - 1045851</t>
  </si>
  <si>
    <t>092256847591000868</t>
  </si>
  <si>
    <t>SDS - 1045856</t>
  </si>
  <si>
    <t>092256847706150194</t>
  </si>
  <si>
    <t>SDS - 1045913</t>
  </si>
  <si>
    <t>092256847892120456</t>
  </si>
  <si>
    <t>SDS - 1045866</t>
  </si>
  <si>
    <t>SABANA DE SAN ANGEL</t>
  </si>
  <si>
    <t>SDS - 1045894</t>
  </si>
  <si>
    <t>REMEDIOS</t>
  </si>
  <si>
    <t>SDS - 1045905</t>
  </si>
  <si>
    <t>REMEDIOS ANTIOQUIA</t>
  </si>
  <si>
    <t>SDS - 1045853</t>
  </si>
  <si>
    <t>SDS - 1045916</t>
  </si>
  <si>
    <t>BASE CON RELE CONVECIONAL MSR 320</t>
  </si>
  <si>
    <t>SDS - 1045896</t>
  </si>
  <si>
    <t>SDS - 1045869</t>
  </si>
  <si>
    <t>SDS - 1045882</t>
  </si>
  <si>
    <t>SDS - 1045878</t>
  </si>
  <si>
    <t>F01U382454</t>
  </si>
  <si>
    <t xml:space="preserve">TECLADO BOSCH </t>
  </si>
  <si>
    <t>042174647816100032</t>
  </si>
  <si>
    <t>SDS - 1045924</t>
  </si>
  <si>
    <t>DETECTOR DE HUMO OPTICO FCP-0320-470</t>
  </si>
  <si>
    <t>SDS - 1045852</t>
  </si>
  <si>
    <t>SDS - 1045912</t>
  </si>
  <si>
    <t>SDS - 1045850</t>
  </si>
  <si>
    <t>SDS - 1045867</t>
  </si>
  <si>
    <t>042163653706100275</t>
  </si>
  <si>
    <t>SDS - 1045918</t>
  </si>
  <si>
    <t>042163653706100206</t>
  </si>
  <si>
    <t>SDS - 1045855</t>
  </si>
  <si>
    <t>TECNICO LO REFUNDIO</t>
  </si>
  <si>
    <t>SDS - 1045903</t>
  </si>
  <si>
    <t>042163653706100209</t>
  </si>
  <si>
    <t>SDS - 1045901</t>
  </si>
  <si>
    <t>042163653706100225</t>
  </si>
  <si>
    <t>SDS - 1045858</t>
  </si>
  <si>
    <t>042257948013020036</t>
  </si>
  <si>
    <t>SDS - 1045860</t>
  </si>
  <si>
    <t>SDS - 1045915</t>
  </si>
  <si>
    <t>092256847892120297</t>
  </si>
  <si>
    <t>SDS - 1045870</t>
  </si>
  <si>
    <t>092256847591000891</t>
  </si>
  <si>
    <t>SDS - 1045891</t>
  </si>
  <si>
    <t>SDS - 1045871</t>
  </si>
  <si>
    <t>092256847517520202</t>
  </si>
  <si>
    <t>SDS - 1045892</t>
  </si>
  <si>
    <t>SDS - 1045868</t>
  </si>
  <si>
    <t>092051353971120124</t>
  </si>
  <si>
    <t>SDS - 1045884</t>
  </si>
  <si>
    <t>SDS - 1045920</t>
  </si>
  <si>
    <t>HECTOR JAVIER CORTES</t>
  </si>
  <si>
    <t>SDS - 1045895</t>
  </si>
  <si>
    <t>F01U397024</t>
  </si>
  <si>
    <t>MODULO EXPANSOR DE ZONA B208</t>
  </si>
  <si>
    <t>042257953720020169</t>
  </si>
  <si>
    <t>SDS - 1045910</t>
  </si>
  <si>
    <t>042239657406100348</t>
  </si>
  <si>
    <t>LS600'LM60</t>
  </si>
  <si>
    <t>REGULADOR DE VOLTAGE APC LS600-LM60</t>
  </si>
  <si>
    <t>SDS - 1045881</t>
  </si>
  <si>
    <t>SDS-1028200</t>
  </si>
  <si>
    <t>POPAYAN</t>
  </si>
  <si>
    <t>BUENOS AIRES / CAUCA</t>
  </si>
  <si>
    <t>092256843826290712</t>
  </si>
  <si>
    <t>SDS - 1045906</t>
  </si>
  <si>
    <t>PL712V2</t>
  </si>
  <si>
    <t>BATERIA CARGA SECA 12V-7A</t>
  </si>
  <si>
    <t>F01U397025</t>
  </si>
  <si>
    <t>SDS - 1045883</t>
  </si>
  <si>
    <t>042239847329100128</t>
  </si>
  <si>
    <t>6010-00699-26-01</t>
  </si>
  <si>
    <t>PAZ DE RIO</t>
  </si>
  <si>
    <t>SDS - 1045886</t>
  </si>
  <si>
    <t>PAZ DEL RIOBOYACA</t>
  </si>
  <si>
    <t>042247244018010067</t>
  </si>
  <si>
    <t>SDS - 1045861</t>
  </si>
  <si>
    <t>SDS-1035534</t>
  </si>
  <si>
    <t>F01U383351</t>
  </si>
  <si>
    <t>SDS - 1045880</t>
  </si>
  <si>
    <t>042186047511100023</t>
  </si>
  <si>
    <t>F01U397733</t>
  </si>
  <si>
    <t>DETECTOR DE TEMPERATURA  BOSCH FCH-T320-R470</t>
  </si>
  <si>
    <t>SDS-1027989</t>
  </si>
  <si>
    <t>SDS - 1045900</t>
  </si>
  <si>
    <t>SDS - 1045907</t>
  </si>
  <si>
    <t>042186047511100012</t>
  </si>
  <si>
    <t>SDS - 1045889</t>
  </si>
  <si>
    <t>F01U416974</t>
  </si>
  <si>
    <t>042275253727100033</t>
  </si>
  <si>
    <t>SDS - 1045921</t>
  </si>
  <si>
    <t>TECLADO BOSCH B925F / 1026456</t>
  </si>
  <si>
    <t>042174644023100056</t>
  </si>
  <si>
    <t>SDS - 1045919</t>
  </si>
  <si>
    <t>TECLADO BOSCH B925F / 1030040</t>
  </si>
  <si>
    <t>042174647329100031</t>
  </si>
  <si>
    <t>SDS - 1045863</t>
  </si>
  <si>
    <t>F01U383394</t>
  </si>
  <si>
    <t>RADIO RECEPTOR B810</t>
  </si>
  <si>
    <t>SDS - 1045925</t>
  </si>
  <si>
    <t>042180247323100043</t>
  </si>
  <si>
    <t>6010-00583/26/01</t>
  </si>
  <si>
    <t>SDS - 1045879</t>
  </si>
  <si>
    <t>SDS - 1045877</t>
  </si>
  <si>
    <t>SDS - 1045890</t>
  </si>
  <si>
    <t>SDS - 1045885</t>
  </si>
  <si>
    <t>SDS - 1045874</t>
  </si>
  <si>
    <t>BTA75891</t>
  </si>
  <si>
    <t>SDS - 1045914</t>
  </si>
  <si>
    <t>042239847329100101</t>
  </si>
  <si>
    <t>SDS - 1045875</t>
  </si>
  <si>
    <t>TOGUI</t>
  </si>
  <si>
    <t>TOGUI BOYACA</t>
  </si>
  <si>
    <t>042247244018010043</t>
  </si>
  <si>
    <t>SDS - 1045904</t>
  </si>
  <si>
    <t>042186047630100017</t>
  </si>
  <si>
    <t>SDS - 1045859</t>
  </si>
  <si>
    <t>042186047511100056</t>
  </si>
  <si>
    <t>SDS - 1045908</t>
  </si>
  <si>
    <t>TECLADO BOSCH B925F / 1033037</t>
  </si>
  <si>
    <t>042174647413100056</t>
  </si>
  <si>
    <t>SDS - 1045864</t>
  </si>
  <si>
    <t>TECLADO BOSCH B925F / 1036984</t>
  </si>
  <si>
    <t>SDS - 1045911</t>
  </si>
  <si>
    <t>042174653720100012</t>
  </si>
  <si>
    <t>SDS - 1045857</t>
  </si>
  <si>
    <t>042180247323100004</t>
  </si>
  <si>
    <t>SDS - 1045865</t>
  </si>
  <si>
    <t>SDS - 1045922</t>
  </si>
  <si>
    <t>042257948004020015</t>
  </si>
  <si>
    <t>RUTA SANTANDER</t>
  </si>
  <si>
    <t>CERRITOS</t>
  </si>
  <si>
    <t>042257953910020112</t>
  </si>
  <si>
    <t>COROMORO</t>
  </si>
  <si>
    <t>WILLIAM RUIZ</t>
  </si>
  <si>
    <t>042163653706100232</t>
  </si>
  <si>
    <t>OCAÑA NORTE DE SANTANDER</t>
  </si>
  <si>
    <t>042163653706100230</t>
  </si>
  <si>
    <t>CARRITOS</t>
  </si>
  <si>
    <t>SDS/60913</t>
  </si>
  <si>
    <t>SDS/1026441</t>
  </si>
  <si>
    <t>042247244018010048</t>
  </si>
  <si>
    <t>092256854086180001</t>
  </si>
  <si>
    <t>092256853757440798</t>
  </si>
  <si>
    <t>042163657330100344</t>
  </si>
  <si>
    <t>SDS/1026426</t>
  </si>
  <si>
    <t>042247244018010031</t>
  </si>
  <si>
    <t>042163657330100484</t>
  </si>
  <si>
    <t>REGULADOR DE VOLTAJE APC LS600-LM60</t>
  </si>
  <si>
    <t>CURITI</t>
  </si>
  <si>
    <t>042163654016100378</t>
  </si>
  <si>
    <t>SDS/1044554</t>
  </si>
  <si>
    <t>042247247821010032</t>
  </si>
  <si>
    <t>042163654022100392</t>
  </si>
  <si>
    <t>SDS - 1026106</t>
  </si>
  <si>
    <t>042163657330100404</t>
  </si>
  <si>
    <t>BARRANQUILLA</t>
  </si>
  <si>
    <t>SAN ESTANISLADO</t>
  </si>
  <si>
    <t>042239657416100164</t>
  </si>
  <si>
    <t>SDS - 1028253</t>
  </si>
  <si>
    <t>092256847892120280</t>
  </si>
  <si>
    <t>MOMPOS BOLIVAR</t>
  </si>
  <si>
    <t>DETECTOR  DE TEMPERATURA BOSCH FCH-350-135</t>
  </si>
  <si>
    <t>092256847706150180</t>
  </si>
  <si>
    <t>FA- 224440</t>
  </si>
  <si>
    <t>DETECTOR  DE TEMPERATURA BOSCH FCP - 350-PTH</t>
  </si>
  <si>
    <t xml:space="preserve">OVEJAS / SUCRE </t>
  </si>
  <si>
    <t>042257948013020052</t>
  </si>
  <si>
    <t xml:space="preserve">GUAMAL MAGDALENA </t>
  </si>
  <si>
    <t>31/3/0206</t>
  </si>
  <si>
    <t>042257953720020188</t>
  </si>
  <si>
    <t>MARIA LA BAJA</t>
  </si>
  <si>
    <t>042163653706100207</t>
  </si>
  <si>
    <t>042163653728100375</t>
  </si>
  <si>
    <t>CANDELARIA ATLANTICO</t>
  </si>
  <si>
    <t>SAN JUAN DE LEUPOCENO</t>
  </si>
  <si>
    <t>QUIBDO</t>
  </si>
  <si>
    <t>QUIBDO CHOCO</t>
  </si>
  <si>
    <t>SUCRE</t>
  </si>
  <si>
    <t>JOSE URANGO</t>
  </si>
  <si>
    <t>SUCRE  SUCRE</t>
  </si>
  <si>
    <t xml:space="preserve">BELEN / BOYACA </t>
  </si>
  <si>
    <t xml:space="preserve">BELEN BOYACA </t>
  </si>
  <si>
    <t>092256847517520263</t>
  </si>
  <si>
    <t>SAN VICENTE ANTIOQUIA</t>
  </si>
  <si>
    <t>092256847892120306</t>
  </si>
  <si>
    <t>092256847892120290</t>
  </si>
  <si>
    <t>092256847892120289</t>
  </si>
  <si>
    <t>092256847892120282</t>
  </si>
  <si>
    <t>042257953720020171</t>
  </si>
  <si>
    <t>SDS1034702</t>
  </si>
  <si>
    <t>093140347627860054</t>
  </si>
  <si>
    <t>042163653706100211</t>
  </si>
  <si>
    <t>6010-00626-03</t>
  </si>
  <si>
    <t>042239657406100349</t>
  </si>
  <si>
    <t>LUIS FRANCISCO ANGULO MADERA</t>
  </si>
  <si>
    <t>2024-08-30</t>
  </si>
  <si>
    <t>OFICINA</t>
  </si>
  <si>
    <t>EL COPEY-CESAR MANTENIMIENTOS</t>
  </si>
  <si>
    <t xml:space="preserve">NELSON VARGAS </t>
  </si>
  <si>
    <t>042239647712100313</t>
  </si>
  <si>
    <t>042239657406100352</t>
  </si>
  <si>
    <t>042239654003100148</t>
  </si>
  <si>
    <t>042239847329100112</t>
  </si>
  <si>
    <t>042239837511100112</t>
  </si>
  <si>
    <t>SDS-10227581</t>
  </si>
  <si>
    <t>042239847828100010</t>
  </si>
  <si>
    <t>SIRENA 2 TONOS 30W 119 DB</t>
  </si>
  <si>
    <t>092256847892120393</t>
  </si>
  <si>
    <t>092256847517520208</t>
  </si>
  <si>
    <t>SDS-1026115</t>
  </si>
  <si>
    <t>SDS-1026045</t>
  </si>
  <si>
    <t xml:space="preserve">PLATA HUILA </t>
  </si>
  <si>
    <t xml:space="preserve">FLORENCIA CAQUETA </t>
  </si>
  <si>
    <t>042257953720020161</t>
  </si>
  <si>
    <t xml:space="preserve">LOS CORDOBAS </t>
  </si>
  <si>
    <t>MOÑITOS CORDOBA</t>
  </si>
  <si>
    <t>PRE ALISTAMIENTO ALL SERVICE</t>
  </si>
  <si>
    <t>ARLEX OVIEDO</t>
  </si>
  <si>
    <t>CAMPAMENTO ANTIOQUIA</t>
  </si>
  <si>
    <t>GAMBITA BOYACA</t>
  </si>
  <si>
    <t>TAMARA CASANARE</t>
  </si>
  <si>
    <t>MANI CASANARE</t>
  </si>
  <si>
    <t>CUMARAL META</t>
  </si>
  <si>
    <t>UNGUIA CHOCO</t>
  </si>
  <si>
    <t>F01U414143</t>
  </si>
  <si>
    <t>042260147406100087</t>
  </si>
  <si>
    <t>ANGOSTURA</t>
  </si>
  <si>
    <t>042260147406100078</t>
  </si>
  <si>
    <t>SDS / 59836</t>
  </si>
  <si>
    <t>F01U029861</t>
  </si>
  <si>
    <t>FSP-951</t>
  </si>
  <si>
    <t>093140637483920042</t>
  </si>
  <si>
    <t xml:space="preserve">DETECTORES DE HUMO </t>
  </si>
  <si>
    <t>WORD BUSINESS</t>
  </si>
  <si>
    <t>093140637483920008</t>
  </si>
  <si>
    <t>SUMINISTROS OFI 614</t>
  </si>
  <si>
    <t>093140637483920005</t>
  </si>
  <si>
    <t>093140637483920057</t>
  </si>
  <si>
    <t>093140637548960112</t>
  </si>
  <si>
    <t>093140633849210131</t>
  </si>
  <si>
    <t>093140637483920024</t>
  </si>
  <si>
    <t>B300-6</t>
  </si>
  <si>
    <t>BASE DE MONTAJE DE HUMO</t>
  </si>
  <si>
    <t>SDS - 1045840</t>
  </si>
  <si>
    <t>SDS - 1045848</t>
  </si>
  <si>
    <t>SDS - 1045835</t>
  </si>
  <si>
    <t>SDS - 1045844</t>
  </si>
  <si>
    <t>SDS - 1045837</t>
  </si>
  <si>
    <t>SDS - 1045847</t>
  </si>
  <si>
    <t>SDS - 10455846</t>
  </si>
  <si>
    <t>RADION DETECTOR BOSCG</t>
  </si>
  <si>
    <t>042180247323100047</t>
  </si>
  <si>
    <t>ZAPATOCA - SANTANDER</t>
  </si>
  <si>
    <t>SDS - 1045836</t>
  </si>
  <si>
    <t>ZAPATOCA SANTANDER</t>
  </si>
  <si>
    <t>TECLADO BOSCH B925F</t>
  </si>
  <si>
    <t>042174647329100029</t>
  </si>
  <si>
    <t>SDS - 1045843</t>
  </si>
  <si>
    <t>042174644022100006</t>
  </si>
  <si>
    <t>SDS - 1045845</t>
  </si>
  <si>
    <t>PANEL BOSCH</t>
  </si>
  <si>
    <t>042186047511100031</t>
  </si>
  <si>
    <t>042186047511100004</t>
  </si>
  <si>
    <t>SDS/1044607</t>
  </si>
  <si>
    <t>042239847329100102</t>
  </si>
  <si>
    <t>ZAPATOZA SANTANDER</t>
  </si>
  <si>
    <t>SDS/1044600</t>
  </si>
  <si>
    <t>042247244018010069</t>
  </si>
  <si>
    <t>SDS/1044609</t>
  </si>
  <si>
    <t>LABATECA</t>
  </si>
  <si>
    <t>SDS/1044601</t>
  </si>
  <si>
    <t>LABATECA NORTE DE SANTANDER</t>
  </si>
  <si>
    <t>SDS/1044602</t>
  </si>
  <si>
    <t>SDS/1044608</t>
  </si>
  <si>
    <t>042259553918100060</t>
  </si>
  <si>
    <t>BODEGA</t>
  </si>
  <si>
    <t>NARANJAL VALLE, BOLIVIA CALDAS, BUENAVISTA QUIBDO</t>
  </si>
  <si>
    <t xml:space="preserve">BOLIVIA CALDAS </t>
  </si>
  <si>
    <t>042259543823100020</t>
  </si>
  <si>
    <t>SDS-59889</t>
  </si>
  <si>
    <t>SDS/1033014</t>
  </si>
  <si>
    <t>PACORA CALDAS</t>
  </si>
  <si>
    <t>042259543823100023</t>
  </si>
  <si>
    <t>MARMATO CALDAS</t>
  </si>
  <si>
    <t>042257948004020025</t>
  </si>
  <si>
    <t xml:space="preserve">PADILLA CAUCA </t>
  </si>
  <si>
    <t>CALOTO CAUCA</t>
  </si>
  <si>
    <t>SIRENA 30 W SISTEMA DE ALARMAS</t>
  </si>
  <si>
    <t>CERRITO</t>
  </si>
  <si>
    <t xml:space="preserve">COMPRA </t>
  </si>
  <si>
    <t>CERRITO / SANTANDER</t>
  </si>
  <si>
    <t>PILA CR-2032</t>
  </si>
  <si>
    <t>BUENAVISTA</t>
  </si>
  <si>
    <t>BUENAVISTA / QUIBDO</t>
  </si>
  <si>
    <t>KIT MAYO</t>
  </si>
  <si>
    <t>FONSECA LA GUAJIRA</t>
  </si>
  <si>
    <t>SDS - 1045656</t>
  </si>
  <si>
    <t>CALAMAR BOLIVAR</t>
  </si>
  <si>
    <t>SDS - 1045660</t>
  </si>
  <si>
    <t xml:space="preserve">SANTA ANA MAGDALENA </t>
  </si>
  <si>
    <t>SDS - 1045653</t>
  </si>
  <si>
    <t>SDS - 1045661</t>
  </si>
  <si>
    <t>SDS - 1045663</t>
  </si>
  <si>
    <t>SDS - 1045657</t>
  </si>
  <si>
    <t>SDS - 1045650</t>
  </si>
  <si>
    <t>SDS - 1045649</t>
  </si>
  <si>
    <t>F01U364870</t>
  </si>
  <si>
    <t>SDS/1043222</t>
  </si>
  <si>
    <t>042163653706100237</t>
  </si>
  <si>
    <t>SDS/1044532</t>
  </si>
  <si>
    <t>042163663902100289</t>
  </si>
  <si>
    <t>SDS/1044545</t>
  </si>
  <si>
    <t>042163663902100268</t>
  </si>
  <si>
    <t>SDS/1044546</t>
  </si>
  <si>
    <t>042163663902100267</t>
  </si>
  <si>
    <t>SDS/1044548</t>
  </si>
  <si>
    <t>042163663902100298</t>
  </si>
  <si>
    <t>SDS/1044534</t>
  </si>
  <si>
    <t>042163663902100296</t>
  </si>
  <si>
    <t>SDS/1044540</t>
  </si>
  <si>
    <t>042163663902100221</t>
  </si>
  <si>
    <t>SDS/1044542</t>
  </si>
  <si>
    <t>042163663902100266</t>
  </si>
  <si>
    <t>SDS/1044539</t>
  </si>
  <si>
    <t>042163663902100294</t>
  </si>
  <si>
    <t>SDS/1044538</t>
  </si>
  <si>
    <t>042163663902100273</t>
  </si>
  <si>
    <t>SDS/1044536</t>
  </si>
  <si>
    <t>042163663902100270</t>
  </si>
  <si>
    <t>SDS/1044537</t>
  </si>
  <si>
    <t>042163663902100222</t>
  </si>
  <si>
    <t>SDS/1044533</t>
  </si>
  <si>
    <t>042163663902100288</t>
  </si>
  <si>
    <t>SDS/1044543</t>
  </si>
  <si>
    <t>042163663902100291</t>
  </si>
  <si>
    <t>SDS1044544</t>
  </si>
  <si>
    <t>042163663902100275</t>
  </si>
  <si>
    <t>SDS/1044541</t>
  </si>
  <si>
    <t>042163663902100271</t>
  </si>
  <si>
    <t>042164263916100024</t>
  </si>
  <si>
    <t>042163657505100602</t>
  </si>
  <si>
    <t>SDS / 61700</t>
  </si>
  <si>
    <t>F01U383080</t>
  </si>
  <si>
    <t>SDS/1044560</t>
  </si>
  <si>
    <t>042207947828030060</t>
  </si>
  <si>
    <t>EL COPEY / CESAR</t>
  </si>
  <si>
    <t>SDS/ 59889</t>
  </si>
  <si>
    <t>042239847329100119</t>
  </si>
  <si>
    <t>042239847403100070</t>
  </si>
  <si>
    <t>0422579480040200036</t>
  </si>
  <si>
    <t>SAN ALBERTO</t>
  </si>
  <si>
    <t>042239847329100110</t>
  </si>
  <si>
    <t>SDS-1033578</t>
  </si>
  <si>
    <t>042239847403100079</t>
  </si>
  <si>
    <t>SDS-1034729</t>
  </si>
  <si>
    <t>SDS / 1044555</t>
  </si>
  <si>
    <t>042239863706100089</t>
  </si>
  <si>
    <t>SDS / 1044552</t>
  </si>
  <si>
    <t>042239863706100084</t>
  </si>
  <si>
    <t>BLISTEL X 5</t>
  </si>
  <si>
    <t>CARTAGENA BOLIVAR</t>
  </si>
  <si>
    <t>092256847892120457</t>
  </si>
  <si>
    <t>PAEZ BELARCASA</t>
  </si>
  <si>
    <t>F01U416973</t>
  </si>
  <si>
    <t>042163653706100254</t>
  </si>
  <si>
    <t>042275147311100016</t>
  </si>
  <si>
    <t>SDS/61700</t>
  </si>
  <si>
    <t>SDS/1044549</t>
  </si>
  <si>
    <t>042275263716100041</t>
  </si>
  <si>
    <t>PASCA CUNDINAMARCA</t>
  </si>
  <si>
    <t>SAN VICENTE</t>
  </si>
  <si>
    <t>TRANSFORMADOR AC 1640</t>
  </si>
  <si>
    <t>042186047630100067</t>
  </si>
  <si>
    <t>042186047619100083</t>
  </si>
  <si>
    <t>042186047619100132</t>
  </si>
  <si>
    <t xml:space="preserve">ORTEGA / TOLIMA </t>
  </si>
  <si>
    <t>042186047511100011</t>
  </si>
  <si>
    <t>092256847706150184</t>
  </si>
  <si>
    <t>CALDAS</t>
  </si>
  <si>
    <t>11//06/2026</t>
  </si>
  <si>
    <t>SDS / 59889</t>
  </si>
  <si>
    <t>042257953720020166</t>
  </si>
  <si>
    <t>SDS/1043556</t>
  </si>
  <si>
    <t>CAMPAMENTO / ANTIOQUIA</t>
  </si>
  <si>
    <t>SDS/1043554</t>
  </si>
  <si>
    <t>SEGOVIA ANTIOQUIA</t>
  </si>
  <si>
    <t>SDS/1043524</t>
  </si>
  <si>
    <t>ARGELIA</t>
  </si>
  <si>
    <t>SDS/1043537</t>
  </si>
  <si>
    <t>093140347878970019</t>
  </si>
  <si>
    <t>SDS/1044567</t>
  </si>
  <si>
    <t>SDS/1044574</t>
  </si>
  <si>
    <t>SDS/1044571</t>
  </si>
  <si>
    <t>PUERTO BERRIO</t>
  </si>
  <si>
    <t>SDS/1044565</t>
  </si>
  <si>
    <t>SDS/1044570</t>
  </si>
  <si>
    <t>SDS/1044576</t>
  </si>
  <si>
    <t>VEGOICHI</t>
  </si>
  <si>
    <t>SDS/1043566</t>
  </si>
  <si>
    <t>TITIRIBI / ANTIOQUIA</t>
  </si>
  <si>
    <t>SDS1017299</t>
  </si>
  <si>
    <r>
      <rPr>
        <rFont val="Arial Narrow"/>
        <b/>
        <color theme="1"/>
        <sz val="12.0"/>
      </rPr>
      <t>3125 X</t>
    </r>
    <r>
      <rPr>
        <rFont val="Arial Narrow"/>
        <b/>
        <color rgb="FFFF0000"/>
        <sz val="12.0"/>
      </rPr>
      <t>1</t>
    </r>
    <r>
      <rPr>
        <rFont val="Arial Narrow"/>
        <b/>
        <color theme="1"/>
        <sz val="12.0"/>
      </rPr>
      <t xml:space="preserve"> / 2 3135</t>
    </r>
  </si>
  <si>
    <t>PUERTO BERRIO / GUARNE /</t>
  </si>
  <si>
    <t>7/5/2026 / 29/05/2026</t>
  </si>
  <si>
    <t>042257948005020064</t>
  </si>
  <si>
    <t>SAN BERNARDO DEL VIENTO</t>
  </si>
  <si>
    <t>SDS1024388</t>
  </si>
  <si>
    <t>HC-S58</t>
  </si>
  <si>
    <t>F01U385668</t>
  </si>
  <si>
    <t>LOS PALMITOS</t>
  </si>
  <si>
    <t>042198727712100002</t>
  </si>
  <si>
    <t>042163643922100342</t>
  </si>
  <si>
    <t xml:space="preserve">AYAPEL - CORDOBA </t>
  </si>
  <si>
    <t>SDS1043184</t>
  </si>
  <si>
    <t>042198727522100045</t>
  </si>
  <si>
    <t>SDS1043192</t>
  </si>
  <si>
    <t>042198727522100047</t>
  </si>
  <si>
    <t>LOS CORDOBAS</t>
  </si>
  <si>
    <t>092256847766640867</t>
  </si>
  <si>
    <t>GUARANDA</t>
  </si>
  <si>
    <t>SDS1043197</t>
  </si>
  <si>
    <t>042198727522100050</t>
  </si>
  <si>
    <t>PUERTO ESCONDIDO</t>
  </si>
  <si>
    <t>SDS1043196</t>
  </si>
  <si>
    <t>042198727522100040</t>
  </si>
  <si>
    <t>SDS-1034630</t>
  </si>
  <si>
    <t>SDS1043191</t>
  </si>
  <si>
    <t>042198727522100051</t>
  </si>
  <si>
    <t>SDS-1034703</t>
  </si>
  <si>
    <t>SDS1043198</t>
  </si>
  <si>
    <t>042198727522100031</t>
  </si>
  <si>
    <t>PAULINO RICO</t>
  </si>
  <si>
    <t>SDS-1027572</t>
  </si>
  <si>
    <t>042198727522100036</t>
  </si>
  <si>
    <t>092256847591000869</t>
  </si>
  <si>
    <t>RAMIRIQUI / BOYACA</t>
  </si>
  <si>
    <t>SDS1034660</t>
  </si>
  <si>
    <t>SDS - 1045809</t>
  </si>
  <si>
    <t>SDS - 1041793</t>
  </si>
  <si>
    <t>SDS - 1033138</t>
  </si>
  <si>
    <t xml:space="preserve">PLANADAS TOLIMA </t>
  </si>
  <si>
    <t>SDS - 1041798</t>
  </si>
  <si>
    <t>SDS - 1045821</t>
  </si>
  <si>
    <t>SDS - 1045815</t>
  </si>
  <si>
    <t>TIPACOQUE BOYACA</t>
  </si>
  <si>
    <t>SDS - 1045817</t>
  </si>
  <si>
    <r>
      <rPr>
        <rFont val="Arial Narrow"/>
        <b/>
        <color theme="1"/>
        <sz val="12.0"/>
      </rPr>
      <t>0591X</t>
    </r>
    <r>
      <rPr>
        <rFont val="Arial Narrow"/>
        <b/>
        <color rgb="FFFF0000"/>
        <sz val="12.0"/>
      </rPr>
      <t>1</t>
    </r>
    <r>
      <rPr>
        <rFont val="Arial Narrow"/>
        <b/>
        <color theme="1"/>
        <sz val="12.0"/>
      </rPr>
      <t>/0592 X</t>
    </r>
    <r>
      <rPr>
        <rFont val="Arial Narrow"/>
        <b/>
        <color rgb="FFFF0000"/>
        <sz val="12.0"/>
      </rPr>
      <t xml:space="preserve">2 </t>
    </r>
  </si>
  <si>
    <t>SDS - 1045806</t>
  </si>
  <si>
    <t>SOCOTA BOYACA / AGRADO HUILA</t>
  </si>
  <si>
    <t>5/5/2026 / 06/05/2026</t>
  </si>
  <si>
    <t xml:space="preserve">KIT </t>
  </si>
  <si>
    <t>SDS - 1041790</t>
  </si>
  <si>
    <t xml:space="preserve">MATANZA SANTANDER </t>
  </si>
  <si>
    <t>SDS - 1033093</t>
  </si>
  <si>
    <t>SDS - 1041795</t>
  </si>
  <si>
    <t>SDS - 1041792</t>
  </si>
  <si>
    <t>042239627826100208</t>
  </si>
  <si>
    <t>SDS - 1045812</t>
  </si>
  <si>
    <t>TIBU NORTE DE SANTANDER</t>
  </si>
  <si>
    <t>SDS - 1033095</t>
  </si>
  <si>
    <t>VILLA CARO NORTE DE SANTANDER</t>
  </si>
  <si>
    <t>SDS - 1033090</t>
  </si>
  <si>
    <t>GUADALUPE SANTANDER</t>
  </si>
  <si>
    <t>SDS - 1033144</t>
  </si>
  <si>
    <t>SDS - 1045833</t>
  </si>
  <si>
    <t xml:space="preserve">CHIMA SANTANDER </t>
  </si>
  <si>
    <t>F01U381621</t>
  </si>
  <si>
    <t>INFRARROJO ANTIMASKING BOSCH CDL2 - A 12</t>
  </si>
  <si>
    <t>042166647922110114</t>
  </si>
  <si>
    <t>TONA SANTANDER</t>
  </si>
  <si>
    <t>ARGELIA ANTIOQUIA</t>
  </si>
  <si>
    <t xml:space="preserve">MEDINA </t>
  </si>
  <si>
    <t>JORGE OCHOA</t>
  </si>
  <si>
    <t>MEDINA</t>
  </si>
  <si>
    <t>SDS1034690</t>
  </si>
  <si>
    <t>ZAPATOCA</t>
  </si>
  <si>
    <t>SDS1034751</t>
  </si>
  <si>
    <t>CUCUTA NORTE DE SANTANDER</t>
  </si>
  <si>
    <t>SDS1034740</t>
  </si>
  <si>
    <t>SDS1034720</t>
  </si>
  <si>
    <t>042259554007100081</t>
  </si>
  <si>
    <t>CALOTO</t>
  </si>
  <si>
    <t>042259543823100033</t>
  </si>
  <si>
    <t>F01U323796</t>
  </si>
  <si>
    <t>COMUNICADOR BOSCH B443</t>
  </si>
  <si>
    <t>042239657406100354</t>
  </si>
  <si>
    <t>6340/10158</t>
  </si>
  <si>
    <t>092256847706150182</t>
  </si>
  <si>
    <t>7869/10159</t>
  </si>
  <si>
    <t>ANGOSTURA ANTIOQUIA</t>
  </si>
  <si>
    <t>AMALFI ANTIOQUIA</t>
  </si>
  <si>
    <t>EXPANSON DE ZONAS  HONEYWELL 4208 U</t>
  </si>
  <si>
    <t>SAN JUAN DE URABA - ANTIOQUIA</t>
  </si>
  <si>
    <t xml:space="preserve">SAN JUAN DE URABA </t>
  </si>
  <si>
    <t xml:space="preserve">CUMARAL META </t>
  </si>
  <si>
    <t xml:space="preserve">PUERTO CARREÑO VICHADA </t>
  </si>
  <si>
    <t>SANTA ROSALIA / VICHADA</t>
  </si>
  <si>
    <t>PUERTO NARE</t>
  </si>
  <si>
    <t xml:space="preserve">PUERTO NARE </t>
  </si>
  <si>
    <t xml:space="preserve">BUENOS AIRES / CAUCA </t>
  </si>
  <si>
    <t>VICHADA</t>
  </si>
  <si>
    <t>PUERTO LLERAS</t>
  </si>
  <si>
    <t>SDS / 1027240</t>
  </si>
  <si>
    <t>042163643922100308</t>
  </si>
  <si>
    <t xml:space="preserve">GRANADA META </t>
  </si>
  <si>
    <t>042163647801100596</t>
  </si>
  <si>
    <t>TAURAMERA</t>
  </si>
  <si>
    <t>GABINETE 90X60X25</t>
  </si>
  <si>
    <t>042186047619100125</t>
  </si>
  <si>
    <t>SDS/1037066</t>
  </si>
  <si>
    <t>042275247404100055</t>
  </si>
  <si>
    <t>LA PINTADA ANTIOQUIA</t>
  </si>
  <si>
    <t xml:space="preserve">LA PINTADA </t>
  </si>
  <si>
    <t>SDS/1032339</t>
  </si>
  <si>
    <t>092256843997580495</t>
  </si>
  <si>
    <t>BUENOS AIRES / SUAREZ</t>
  </si>
  <si>
    <t>SDS/1032325</t>
  </si>
  <si>
    <t>092256843997580475</t>
  </si>
  <si>
    <t>SDS/1032369</t>
  </si>
  <si>
    <t>092256847517520250</t>
  </si>
  <si>
    <t>SDS/1032348</t>
  </si>
  <si>
    <t xml:space="preserve">PRIMAVERA VICHADA </t>
  </si>
  <si>
    <t>042259543823100047</t>
  </si>
  <si>
    <t>SDS1034669</t>
  </si>
  <si>
    <t>SDS1034657</t>
  </si>
  <si>
    <t xml:space="preserve">VALDIVIA </t>
  </si>
  <si>
    <t>SDS1027837</t>
  </si>
  <si>
    <t>SDS1034678</t>
  </si>
  <si>
    <t>SDS1034675</t>
  </si>
  <si>
    <t>SDS1034654</t>
  </si>
  <si>
    <t>SDS-1043594</t>
  </si>
  <si>
    <t>SDS-1043598</t>
  </si>
  <si>
    <t>SDS/1037131</t>
  </si>
  <si>
    <t>092256847892120450</t>
  </si>
  <si>
    <t>SDS/1037090</t>
  </si>
  <si>
    <t>092256847892120819</t>
  </si>
  <si>
    <t>SDS/1032362</t>
  </si>
  <si>
    <t>092256847517520258</t>
  </si>
  <si>
    <t>SDS/1032976</t>
  </si>
  <si>
    <t>092256847766640794</t>
  </si>
  <si>
    <t>SDS/1032958</t>
  </si>
  <si>
    <t>092256847766640813</t>
  </si>
  <si>
    <t>SDS/1032333</t>
  </si>
  <si>
    <t>092256843997580494</t>
  </si>
  <si>
    <t>SDS/1037132</t>
  </si>
  <si>
    <t>092256847892120259</t>
  </si>
  <si>
    <t>SDS/1032962</t>
  </si>
  <si>
    <t>092256847706150364</t>
  </si>
  <si>
    <t>SDS/1032927</t>
  </si>
  <si>
    <t>092256847706150251</t>
  </si>
  <si>
    <t>093140637483920014</t>
  </si>
  <si>
    <t>093140637483920009</t>
  </si>
  <si>
    <t>042259543823100043</t>
  </si>
  <si>
    <t>042259553918100057</t>
  </si>
  <si>
    <t>DAÑADO</t>
  </si>
  <si>
    <t>SDS/1043489</t>
  </si>
  <si>
    <t>SDS/1043494</t>
  </si>
  <si>
    <t>SDS/1043473</t>
  </si>
  <si>
    <t>042164257814100128</t>
  </si>
  <si>
    <t>BELLO / ANRIOQUIA</t>
  </si>
  <si>
    <t>042164257814100208</t>
  </si>
  <si>
    <t>042164263916100880</t>
  </si>
  <si>
    <t>042164257814100181</t>
  </si>
  <si>
    <t>042164263916100022</t>
  </si>
  <si>
    <t>042164263916100737</t>
  </si>
  <si>
    <t>042164263916100884</t>
  </si>
  <si>
    <t>042163647815100164</t>
  </si>
  <si>
    <t>042239847329100104</t>
  </si>
  <si>
    <t>SDS/ 1037020</t>
  </si>
  <si>
    <t>042239647815100196</t>
  </si>
  <si>
    <t>SDS/ 1032214</t>
  </si>
  <si>
    <t>042239647704100202</t>
  </si>
  <si>
    <t>042239628029100245</t>
  </si>
  <si>
    <t>SDS/ 1027467</t>
  </si>
  <si>
    <t>042239647322100384</t>
  </si>
  <si>
    <t>SDS/ 1027494</t>
  </si>
  <si>
    <t>042239647327100174</t>
  </si>
  <si>
    <t>SDS/ 1033060</t>
  </si>
  <si>
    <t>042239647712100178</t>
  </si>
  <si>
    <t>042186047630100120</t>
  </si>
  <si>
    <t>042186047630100127</t>
  </si>
  <si>
    <t>SDS/1043549</t>
  </si>
  <si>
    <t>SDS/1043557</t>
  </si>
  <si>
    <t>SDS/1043541</t>
  </si>
  <si>
    <t>SDS/1043535</t>
  </si>
  <si>
    <t>SDS/1043551</t>
  </si>
  <si>
    <t>SDS/1043543</t>
  </si>
  <si>
    <t>SDS/1043555</t>
  </si>
  <si>
    <t>SDS/1043547</t>
  </si>
  <si>
    <t>SDS/1043563</t>
  </si>
  <si>
    <t>SDS-1027410</t>
  </si>
  <si>
    <t>SDS-1043589</t>
  </si>
  <si>
    <t>SDS-1043579</t>
  </si>
  <si>
    <t>SDS-1043590</t>
  </si>
  <si>
    <t>SDS-1043585</t>
  </si>
  <si>
    <t>SDS/1043461</t>
  </si>
  <si>
    <t>SDS/1043469</t>
  </si>
  <si>
    <t>SDS/1043485</t>
  </si>
  <si>
    <t>SDS/1043559</t>
  </si>
  <si>
    <t>SDS/1043570</t>
  </si>
  <si>
    <t>SDS/1043539</t>
  </si>
  <si>
    <t>SDS/1043552</t>
  </si>
  <si>
    <t>F01U323799</t>
  </si>
  <si>
    <t>RECEPTOR INALAMBRICO BOSCH REF B810</t>
  </si>
  <si>
    <t>SDS/1026779</t>
  </si>
  <si>
    <t>042180247323100071</t>
  </si>
  <si>
    <t>SDS-1043630</t>
  </si>
  <si>
    <t>MORALES CAUCA</t>
  </si>
  <si>
    <t xml:space="preserve">MORALES CAUCA </t>
  </si>
  <si>
    <t>SDS/1043532</t>
  </si>
  <si>
    <t xml:space="preserve">GIRON SANTANDER </t>
  </si>
  <si>
    <t>SDS/1043545</t>
  </si>
  <si>
    <t>BUCARAMANGA / SANTANDER</t>
  </si>
  <si>
    <t>SDS/1043553</t>
  </si>
  <si>
    <t>SDS/1043567</t>
  </si>
  <si>
    <t>SDS/1043569</t>
  </si>
  <si>
    <t>CENTRAL DE ABASTOS CUCUTA</t>
  </si>
  <si>
    <t>HALTO COROZAL</t>
  </si>
  <si>
    <t>ACHI BOLIVAR</t>
  </si>
  <si>
    <t>SDS/1032213</t>
  </si>
  <si>
    <t>042239647710100136</t>
  </si>
  <si>
    <t>HATO COROZAL</t>
  </si>
  <si>
    <t xml:space="preserve">ACHI BOLIVAR </t>
  </si>
  <si>
    <t>BANCO MAGDALENA</t>
  </si>
  <si>
    <t>SDS/1043454</t>
  </si>
  <si>
    <t>042275263716100056</t>
  </si>
  <si>
    <t xml:space="preserve">EL BANCO MAGDALENA </t>
  </si>
  <si>
    <t>SDS/1043466</t>
  </si>
  <si>
    <t>SDS - 1032945</t>
  </si>
  <si>
    <t>092256847706150227</t>
  </si>
  <si>
    <t>SAN BERNARDO</t>
  </si>
  <si>
    <t>SDS - 1037118</t>
  </si>
  <si>
    <t>092256847892120794</t>
  </si>
  <si>
    <t>SDS - 1032353</t>
  </si>
  <si>
    <t>092256847517520266</t>
  </si>
  <si>
    <t>SDS - 1037089</t>
  </si>
  <si>
    <t>092256847892120392</t>
  </si>
  <si>
    <t>042275263716100057</t>
  </si>
  <si>
    <t>SDS/1043498</t>
  </si>
  <si>
    <t>042174653819100075</t>
  </si>
  <si>
    <t>SDS/1043499</t>
  </si>
  <si>
    <t>042174653819100077</t>
  </si>
  <si>
    <t>VELEZ SANTANDER</t>
  </si>
  <si>
    <t>042164263916100886</t>
  </si>
  <si>
    <t>SDS/1043486</t>
  </si>
  <si>
    <t>042163657505100614</t>
  </si>
  <si>
    <t>RUTA VILLAVICENCIO</t>
  </si>
  <si>
    <t>CABUYARO</t>
  </si>
  <si>
    <t>SENSOR EXTERIOR OPTEX</t>
  </si>
  <si>
    <t>SDS - 1037094</t>
  </si>
  <si>
    <t>092256847892120805</t>
  </si>
  <si>
    <t xml:space="preserve">SOCORRO </t>
  </si>
  <si>
    <t>SOCORRO / SANTANDER</t>
  </si>
  <si>
    <t>SDS - 1032953</t>
  </si>
  <si>
    <t>092256847706150363</t>
  </si>
  <si>
    <t>SDS/1026778</t>
  </si>
  <si>
    <t>042180247323100063</t>
  </si>
  <si>
    <t xml:space="preserve">PUERTO  NARE </t>
  </si>
  <si>
    <t>SDS/1037025</t>
  </si>
  <si>
    <t>042239647815100211</t>
  </si>
  <si>
    <t xml:space="preserve">CARTAGO VALLE </t>
  </si>
  <si>
    <t>CARTAGO VALLE</t>
  </si>
  <si>
    <t>SDS - 1037102</t>
  </si>
  <si>
    <t>092256847892120258</t>
  </si>
  <si>
    <t xml:space="preserve">SDS / ZAPATOCA </t>
  </si>
  <si>
    <t xml:space="preserve">OSCAR ARISTISABAL / HECTOR JAVIER CORTES </t>
  </si>
  <si>
    <t>SDS - 1032354</t>
  </si>
  <si>
    <t>092256843997580710</t>
  </si>
  <si>
    <t>SDS - 1032336</t>
  </si>
  <si>
    <t>092256843997580488</t>
  </si>
  <si>
    <t>SDS - 1037119</t>
  </si>
  <si>
    <t>092256847892120803</t>
  </si>
  <si>
    <t>SDS - 1032343</t>
  </si>
  <si>
    <t>092256843997580706</t>
  </si>
  <si>
    <t>SDS - 1037110</t>
  </si>
  <si>
    <t>092256847892120807</t>
  </si>
  <si>
    <t>SDS - 1037125</t>
  </si>
  <si>
    <t>092256847892120801</t>
  </si>
  <si>
    <t>SDS - 1032373</t>
  </si>
  <si>
    <t>092256847517520209</t>
  </si>
  <si>
    <t>SDS - 1032426</t>
  </si>
  <si>
    <t>092256847591000855</t>
  </si>
  <si>
    <t>SDS - 1032954</t>
  </si>
  <si>
    <t>092256847706150236</t>
  </si>
  <si>
    <t>SDS - 1032992</t>
  </si>
  <si>
    <t>092256847706150381</t>
  </si>
  <si>
    <t xml:space="preserve">SAN ALBERTO CESAR </t>
  </si>
  <si>
    <t>SDS - 1037095</t>
  </si>
  <si>
    <t>092256847892120818</t>
  </si>
  <si>
    <t>SDS - 1032978</t>
  </si>
  <si>
    <t>092256847706150246</t>
  </si>
  <si>
    <t>SDS - 1032330</t>
  </si>
  <si>
    <t>092256843997580480</t>
  </si>
  <si>
    <t>SDS - 1037086</t>
  </si>
  <si>
    <t>092256847892120809</t>
  </si>
  <si>
    <t>SDS - 1032418</t>
  </si>
  <si>
    <t>092256847517520195</t>
  </si>
  <si>
    <t>SDS - 1032980</t>
  </si>
  <si>
    <t>092256847706150368</t>
  </si>
  <si>
    <t>SDS - 1037130</t>
  </si>
  <si>
    <t>092256847892120278</t>
  </si>
  <si>
    <t xml:space="preserve">PORE / CASANARE </t>
  </si>
  <si>
    <t>COMPRA</t>
  </si>
  <si>
    <t>SDS-1043628</t>
  </si>
  <si>
    <t>TAMARA</t>
  </si>
  <si>
    <t>093140637663790265</t>
  </si>
  <si>
    <t>SAN LUIS DE PALENQUE</t>
  </si>
  <si>
    <t>SDS/1037013</t>
  </si>
  <si>
    <t>042239647815100198</t>
  </si>
  <si>
    <t>SDS/1033057</t>
  </si>
  <si>
    <t>042239647526100206</t>
  </si>
  <si>
    <t>TAMARA / CASANARE</t>
  </si>
  <si>
    <t>8563-GSB-N/A</t>
  </si>
  <si>
    <t>8547-GSB-N/A</t>
  </si>
  <si>
    <t>SDS/1043490</t>
  </si>
  <si>
    <t>PROVIDENCIA / ARCHIPIELAGO</t>
  </si>
  <si>
    <t xml:space="preserve">RTC </t>
  </si>
  <si>
    <t>SDS-1034663</t>
  </si>
  <si>
    <t>SANTA MARIA HUILA</t>
  </si>
  <si>
    <t>SOLANO CAQUETA</t>
  </si>
  <si>
    <t>BUENOS AIRES CAUCA</t>
  </si>
  <si>
    <t>SDS/1043477</t>
  </si>
  <si>
    <t xml:space="preserve">LIBANO TOLIMA </t>
  </si>
  <si>
    <t>8579-GSB-N/A</t>
  </si>
  <si>
    <t>SDS-1034632</t>
  </si>
  <si>
    <t>SDS-1043632</t>
  </si>
  <si>
    <t>CERRITO VALLE DEL CAUCA</t>
  </si>
  <si>
    <t xml:space="preserve">EL CERRITO VALLE DEL CAUCA </t>
  </si>
  <si>
    <t>SDS-1043625</t>
  </si>
  <si>
    <t>SDS-1043582</t>
  </si>
  <si>
    <t>SDS-1043578</t>
  </si>
  <si>
    <t>SDS-1043586</t>
  </si>
  <si>
    <t>SDS-1043577</t>
  </si>
  <si>
    <t>SDS-1040390</t>
  </si>
  <si>
    <t>SDS-1043571</t>
  </si>
  <si>
    <t>SDS-1043605</t>
  </si>
  <si>
    <t>SDS-1043635</t>
  </si>
  <si>
    <t>SDS - 1032934</t>
  </si>
  <si>
    <t>092256847766640812</t>
  </si>
  <si>
    <t>SDS - 1032933</t>
  </si>
  <si>
    <t>092256847706150244</t>
  </si>
  <si>
    <t>SDS - 1032335</t>
  </si>
  <si>
    <t>092256847517520257</t>
  </si>
  <si>
    <t>SDS - 1032994</t>
  </si>
  <si>
    <t>092256847706150239</t>
  </si>
  <si>
    <t>SDS - 1032966</t>
  </si>
  <si>
    <t>092256847706150240</t>
  </si>
  <si>
    <t>SDS - 1032987</t>
  </si>
  <si>
    <t>092256847706150250</t>
  </si>
  <si>
    <t>SDS - 1032921</t>
  </si>
  <si>
    <t>092256847706150361</t>
  </si>
  <si>
    <t>SDS - 1032964</t>
  </si>
  <si>
    <t>092256847766640795</t>
  </si>
  <si>
    <t>SDS - 1037101</t>
  </si>
  <si>
    <t>092256847892120382</t>
  </si>
  <si>
    <t>SDS - 1032347</t>
  </si>
  <si>
    <t>092256847517520251</t>
  </si>
  <si>
    <t>SDS - 1032349</t>
  </si>
  <si>
    <t>092256843997580483</t>
  </si>
  <si>
    <t>RISARALDA CALDAS</t>
  </si>
  <si>
    <t>SDS - 1032355</t>
  </si>
  <si>
    <t>092256843997580708</t>
  </si>
  <si>
    <t>SDS - 1037103</t>
  </si>
  <si>
    <t>092256847892120816</t>
  </si>
  <si>
    <t>SDS - 1032932</t>
  </si>
  <si>
    <t>092256847706150378</t>
  </si>
  <si>
    <t>SDS - 1032429</t>
  </si>
  <si>
    <t>092256843997580696</t>
  </si>
  <si>
    <t>093140637456680063</t>
  </si>
  <si>
    <t>093140637483920027</t>
  </si>
  <si>
    <t>093140633849210039</t>
  </si>
  <si>
    <t>042259553918100049</t>
  </si>
  <si>
    <t>042164263913101003</t>
  </si>
  <si>
    <t>042164263913101081</t>
  </si>
  <si>
    <t>042164263916100019</t>
  </si>
  <si>
    <t>042164263916100816</t>
  </si>
  <si>
    <t>042164257814100182</t>
  </si>
  <si>
    <t>042163657503100959</t>
  </si>
  <si>
    <t>042163653728100359</t>
  </si>
  <si>
    <t>042163657505100604</t>
  </si>
  <si>
    <t>042163657503100952</t>
  </si>
  <si>
    <t>SDS/1043462</t>
  </si>
  <si>
    <t>SDS/1043470</t>
  </si>
  <si>
    <t>SDS/1043458</t>
  </si>
  <si>
    <t>SDS/1037011</t>
  </si>
  <si>
    <t>042239647815100210</t>
  </si>
  <si>
    <t>SDS/1032223</t>
  </si>
  <si>
    <t>042239647704100212</t>
  </si>
  <si>
    <t>SDS/1037030</t>
  </si>
  <si>
    <t>042239647815100216</t>
  </si>
  <si>
    <t>SDS/1032231</t>
  </si>
  <si>
    <t>042239647710100106</t>
  </si>
  <si>
    <t>SDS/1033051</t>
  </si>
  <si>
    <t>042239647712100151</t>
  </si>
  <si>
    <t>SDS/1037029</t>
  </si>
  <si>
    <t>042239647815100204</t>
  </si>
  <si>
    <t>SDS/1032228</t>
  </si>
  <si>
    <t>042239647526100249</t>
  </si>
  <si>
    <t>042239628029100257</t>
  </si>
  <si>
    <t>042239847329100124</t>
  </si>
  <si>
    <t>042275253727100034</t>
  </si>
  <si>
    <t>042186047630100023</t>
  </si>
  <si>
    <t>042186047630100126</t>
  </si>
  <si>
    <t>SDS/1043536</t>
  </si>
  <si>
    <t>SDS/1043533</t>
  </si>
  <si>
    <t>SDS/1043542</t>
  </si>
  <si>
    <t>SDS/1043550</t>
  </si>
  <si>
    <t>SDS/1043544</t>
  </si>
  <si>
    <t>SDS/1043540</t>
  </si>
  <si>
    <t>SDS/1043548</t>
  </si>
  <si>
    <t>042198727522100037</t>
  </si>
  <si>
    <t>042198727522100042</t>
  </si>
  <si>
    <t>BUCARAMANGA</t>
  </si>
  <si>
    <t>SDS/1043474</t>
  </si>
  <si>
    <t>SDS/1043478</t>
  </si>
  <si>
    <t>SDS/1026438</t>
  </si>
  <si>
    <t>042247244018010013</t>
  </si>
  <si>
    <t>1-336448</t>
  </si>
  <si>
    <t xml:space="preserve">QUIBDO VALLE DEL CAUCA </t>
  </si>
  <si>
    <t xml:space="preserve">SABANA LARGA </t>
  </si>
  <si>
    <t>EBEJICO</t>
  </si>
  <si>
    <t>FEVH22035</t>
  </si>
  <si>
    <t>ARACATA MAGDALENA</t>
  </si>
  <si>
    <t>MANTENMIENTO</t>
  </si>
  <si>
    <t xml:space="preserve">CABUYARO / META </t>
  </si>
  <si>
    <t>SABANALARGA ANTIOQUIA</t>
  </si>
  <si>
    <t>LA ESTRELLA</t>
  </si>
  <si>
    <t>VISTA HERMOSA META</t>
  </si>
  <si>
    <t>SDS/1032220</t>
  </si>
  <si>
    <t>042239647710100163</t>
  </si>
  <si>
    <t>VISTA HERMOSA</t>
  </si>
  <si>
    <t>PREALISTAMIENTO BOVEDAS</t>
  </si>
  <si>
    <t>ARBOLEDA SANTANDER</t>
  </si>
  <si>
    <t>CUCUTILLA NORTE SANTANDER</t>
  </si>
  <si>
    <t>MONTERIA CORDOBA</t>
  </si>
  <si>
    <t>NATAGAIMA TOLIMA</t>
  </si>
  <si>
    <t>PURIFICACION / TOLIMA</t>
  </si>
  <si>
    <t>SAHAGUN CORDOBA</t>
  </si>
  <si>
    <t>GVS</t>
  </si>
  <si>
    <t>SDS / 61143</t>
  </si>
  <si>
    <t>VALENCIA CORDOBA</t>
  </si>
  <si>
    <t xml:space="preserve">LA SIERRA CAUCA </t>
  </si>
  <si>
    <t>SDS/1043481</t>
  </si>
  <si>
    <t>SDS/1033055</t>
  </si>
  <si>
    <t>042239647712100167</t>
  </si>
  <si>
    <t xml:space="preserve">NATAGAIMA - TOLIMA </t>
  </si>
  <si>
    <t>SDS/1043538</t>
  </si>
  <si>
    <t>SDS-1043626</t>
  </si>
  <si>
    <t>COELLO TOLIMA</t>
  </si>
  <si>
    <t>SDS/1032423</t>
  </si>
  <si>
    <t>092256847517520192</t>
  </si>
  <si>
    <t>SDS/1032930</t>
  </si>
  <si>
    <t>092256847706150231</t>
  </si>
  <si>
    <t>SUAREZ</t>
  </si>
  <si>
    <t>042164263916100882</t>
  </si>
  <si>
    <t xml:space="preserve">HERVEO TOLIMA </t>
  </si>
  <si>
    <t>042164257814100198</t>
  </si>
  <si>
    <t>SDS/1043482</t>
  </si>
  <si>
    <t xml:space="preserve">GUACARI VALLE </t>
  </si>
  <si>
    <t>8560-GSB-N/A</t>
  </si>
  <si>
    <t xml:space="preserve">SOMONDOCO BOYACA </t>
  </si>
  <si>
    <t>VALDIVIA</t>
  </si>
  <si>
    <t>SDS/1032337</t>
  </si>
  <si>
    <t>092256843997580709</t>
  </si>
  <si>
    <t xml:space="preserve">LA ESTRELLA </t>
  </si>
  <si>
    <t>SDS/1043457</t>
  </si>
  <si>
    <t>LOURDES NORTE DE SANTANDER</t>
  </si>
  <si>
    <t xml:space="preserve">PUERTO SANTANDER </t>
  </si>
  <si>
    <t>SOPO</t>
  </si>
  <si>
    <t xml:space="preserve">SOPO </t>
  </si>
  <si>
    <t>VILLAVICENCIO / META</t>
  </si>
  <si>
    <t>AGUAZUL / CASANARE</t>
  </si>
  <si>
    <t>SDS - 1037083</t>
  </si>
  <si>
    <t>092256847892120270</t>
  </si>
  <si>
    <t>SDS - 1032435</t>
  </si>
  <si>
    <t xml:space="preserve">LA MACARENA </t>
  </si>
  <si>
    <t>SDS - 1032956</t>
  </si>
  <si>
    <t>092256847706150365</t>
  </si>
  <si>
    <t>SDD - 60913</t>
  </si>
  <si>
    <t>SDS/1044237</t>
  </si>
  <si>
    <t>042259557330100028</t>
  </si>
  <si>
    <t>042163657503100936</t>
  </si>
  <si>
    <t xml:space="preserve">FLORIDA VALLE / CALI </t>
  </si>
  <si>
    <t>SDS / 61406</t>
  </si>
  <si>
    <t>SDS/ 1026429</t>
  </si>
  <si>
    <t>042247211018010019</t>
  </si>
  <si>
    <t>SDS/1044236</t>
  </si>
  <si>
    <t>042259554014100021</t>
  </si>
  <si>
    <t>SDS/1044235</t>
  </si>
  <si>
    <t>042259554014100031</t>
  </si>
  <si>
    <t>SDS/1043465</t>
  </si>
  <si>
    <t>SDS/1043493</t>
  </si>
  <si>
    <t>SDS/1027482</t>
  </si>
  <si>
    <t>042239647327100179</t>
  </si>
  <si>
    <t>SDS/1027458</t>
  </si>
  <si>
    <t>042239647322100374</t>
  </si>
  <si>
    <t>SDS/1027473</t>
  </si>
  <si>
    <t>042239647322100352</t>
  </si>
  <si>
    <t>SDS/1037027</t>
  </si>
  <si>
    <t>042239647815100219</t>
  </si>
  <si>
    <t>SDS/1032227</t>
  </si>
  <si>
    <t>042239647710100143</t>
  </si>
  <si>
    <t>SDS1037070</t>
  </si>
  <si>
    <t>042275253727100035</t>
  </si>
  <si>
    <t xml:space="preserve">FLORIDA VALLE </t>
  </si>
  <si>
    <t>042186047630100030</t>
  </si>
  <si>
    <t>Directora Omaira Martín</t>
  </si>
  <si>
    <t>SDS/1027418</t>
  </si>
  <si>
    <t>042239643901100144</t>
  </si>
  <si>
    <t>CÚCUTA NORTE DE SANTANDER</t>
  </si>
  <si>
    <t>13/085/2026</t>
  </si>
  <si>
    <t xml:space="preserve">PAMPLONA </t>
  </si>
  <si>
    <t>SANTANDER DE QUILICHAO CAUCA</t>
  </si>
  <si>
    <t>SANTANDE DE QUILICHAO</t>
  </si>
  <si>
    <t>MO 9737</t>
  </si>
  <si>
    <t xml:space="preserve">COROZAL / SUCRE </t>
  </si>
  <si>
    <t>COROZAL / SUCRE</t>
  </si>
  <si>
    <t xml:space="preserve">MUTISCUA NORTE DE SANTANDER </t>
  </si>
  <si>
    <t>SDS/1044598</t>
  </si>
  <si>
    <t>LA MERCED CALADAS</t>
  </si>
  <si>
    <t xml:space="preserve">LA MERCED CALDAS </t>
  </si>
  <si>
    <t>SDS-1043609</t>
  </si>
  <si>
    <t>KIT AGOSTO</t>
  </si>
  <si>
    <t>ZARAGOZA</t>
  </si>
  <si>
    <t>SDS/1044547</t>
  </si>
  <si>
    <t>042163663902100286</t>
  </si>
  <si>
    <t>SDS/1044559</t>
  </si>
  <si>
    <t>CAUCASIA</t>
  </si>
  <si>
    <t>SDS/1043561</t>
  </si>
  <si>
    <t>SAN ANTERO</t>
  </si>
  <si>
    <t xml:space="preserve">CASTILLO META </t>
  </si>
  <si>
    <t xml:space="preserve">EL CASTILLO </t>
  </si>
  <si>
    <t>SDS/1044599</t>
  </si>
  <si>
    <t>SDS/1044613</t>
  </si>
  <si>
    <t>SAN JUAN DEL CESAR</t>
  </si>
  <si>
    <t>SDS-1043587</t>
  </si>
  <si>
    <t>ANGEL DIAZ</t>
  </si>
  <si>
    <t>ANSERMA CALDAS</t>
  </si>
  <si>
    <t xml:space="preserve">CARTAGO VALLE DE CAUCA </t>
  </si>
  <si>
    <t>SDS/1044596</t>
  </si>
  <si>
    <t>SDS/1044535</t>
  </si>
  <si>
    <t>042163663902100297</t>
  </si>
  <si>
    <t>SDS/1044556</t>
  </si>
  <si>
    <t>042207947828030032</t>
  </si>
  <si>
    <t>APIA RISARALDA</t>
  </si>
  <si>
    <t>SDS/1043558</t>
  </si>
  <si>
    <t>SDS-1043574</t>
  </si>
  <si>
    <t xml:space="preserve"> SAMIR FIGUEROA </t>
  </si>
  <si>
    <t>SDS-1043573</t>
  </si>
  <si>
    <t>SDS-1043627</t>
  </si>
  <si>
    <t>SDS/1043565</t>
  </si>
  <si>
    <t>SDS/1044572</t>
  </si>
  <si>
    <t>SDS/1044563</t>
  </si>
  <si>
    <t xml:space="preserve">PUEBLO BELLO CESAR </t>
  </si>
  <si>
    <t xml:space="preserve">PUEBLO BELLO - CESAR </t>
  </si>
  <si>
    <t>SDS/1044561</t>
  </si>
  <si>
    <t>042207947828030006</t>
  </si>
  <si>
    <t>TURBO</t>
  </si>
  <si>
    <t xml:space="preserve">JOSE BEDOYA </t>
  </si>
  <si>
    <t>ACANDI / CHOCO</t>
  </si>
  <si>
    <t>SDS-1043588</t>
  </si>
  <si>
    <t>PREALISTAMIENTO</t>
  </si>
  <si>
    <t>SDS-1043597</t>
  </si>
  <si>
    <t>093140637483920021</t>
  </si>
  <si>
    <t>093140637483920020</t>
  </si>
  <si>
    <t>AYM1-3760</t>
  </si>
  <si>
    <t>LA TEBAIDA</t>
  </si>
  <si>
    <t>FREDY PARDO</t>
  </si>
  <si>
    <t>FEV-18477</t>
  </si>
  <si>
    <t>042186047608100001</t>
  </si>
  <si>
    <t>NECOCLI</t>
  </si>
  <si>
    <t>Julys julio solipa</t>
  </si>
  <si>
    <t>SDS - 1045631</t>
  </si>
  <si>
    <t>SDS - 1045634</t>
  </si>
  <si>
    <t>SDS/1044558</t>
  </si>
  <si>
    <t>042207947828030058</t>
  </si>
  <si>
    <t>SDS - 1041786</t>
  </si>
  <si>
    <t>SDS - 1045655</t>
  </si>
  <si>
    <t>SDS - 1045652</t>
  </si>
  <si>
    <t>SDS - 1026046</t>
  </si>
  <si>
    <t>SDS/1043546</t>
  </si>
  <si>
    <t>SDS/1044557</t>
  </si>
  <si>
    <t>042207947828030012</t>
  </si>
  <si>
    <t>SDS/1044585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</si>
</sst>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 mmmm, yyyy"/>
    <numFmt numFmtId="165" formatCode="d/M/yyyy"/>
    <numFmt numFmtId="166" formatCode="dd/mm/yyyy"/>
    <numFmt numFmtId="167" formatCode="dd-mm-yyyy"/>
    <numFmt numFmtId="168" formatCode="d&quot; &quot;mmmm&quot;, &quot;yyyy"/>
  </numFmts>
  <fonts count="17">
    <font>
      <sz val="10.0"/>
      <color rgb="FF000000"/>
      <name val="Arial"/>
      <scheme val="minor"/>
    </font>
    <font>
      <b/>
      <sz val="12.0"/>
      <color theme="1"/>
      <name val="Arial Narrow"/>
    </font>
    <font>
      <b/>
      <color theme="1"/>
      <name val="Arial"/>
      <scheme val="minor"/>
    </font>
    <font>
      <sz val="12.0"/>
      <color theme="1"/>
      <name val="Arial Narrow"/>
    </font>
    <font>
      <b/>
      <color rgb="FF000000"/>
      <name val="Arial"/>
    </font>
    <font>
      <color theme="1"/>
      <name val="Arial"/>
      <scheme val="minor"/>
    </font>
    <font>
      <b/>
      <color rgb="FF000000"/>
      <name val="Arial"/>
      <scheme val="minor"/>
    </font>
    <font>
      <b/>
      <color rgb="FFFF0000"/>
      <name val="Arial"/>
      <scheme val="minor"/>
    </font>
    <font>
      <sz val="12.0"/>
      <color rgb="FF000000"/>
      <name val="Arial Narrow"/>
    </font>
    <font>
      <color theme="1"/>
      <name val="Arial"/>
    </font>
    <font>
      <b/>
      <sz val="12.0"/>
      <color rgb="FFFF0000"/>
      <name val="Arial Narrow"/>
    </font>
    <font>
      <b/>
      <color theme="1"/>
      <name val="Arial"/>
    </font>
    <font>
      <b/>
      <sz val="12.0"/>
      <color rgb="FF000000"/>
      <name val="'Arial Narrow'"/>
    </font>
    <font>
      <b/>
      <sz val="12.0"/>
      <color rgb="FF000000"/>
      <name val="Arial Narrow"/>
    </font>
    <font>
      <sz val="12.0"/>
      <color rgb="FFFF0000"/>
      <name val="Arial Narrow"/>
    </font>
    <font>
      <color rgb="FF000000"/>
      <name val="Arial"/>
      <scheme val="minor"/>
    </font>
    <font>
      <b/>
      <sz val="11.0"/>
      <color rgb="FF000000"/>
      <name val="Calibri"/>
    </font>
  </fonts>
  <fills count="14">
    <fill>
      <patternFill patternType="none"/>
    </fill>
    <fill>
      <patternFill patternType="lightGray"/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4A86E8"/>
        <bgColor rgb="FF4A86E8"/>
      </patternFill>
    </fill>
    <fill>
      <patternFill patternType="solid">
        <fgColor rgb="FF3C78D8"/>
        <bgColor rgb="FF3C78D8"/>
      </patternFill>
    </fill>
    <fill>
      <patternFill patternType="solid">
        <fgColor theme="4"/>
        <bgColor theme="4"/>
      </patternFill>
    </fill>
    <fill>
      <patternFill patternType="solid">
        <fgColor rgb="FFE69138"/>
        <bgColor rgb="FFE69138"/>
      </patternFill>
    </fill>
    <fill>
      <patternFill patternType="solid">
        <fgColor rgb="FFFF9900"/>
        <bgColor rgb="FFFF9900"/>
      </patternFill>
    </fill>
    <fill>
      <patternFill patternType="solid">
        <fgColor rgb="FF6AA84F"/>
        <bgColor rgb="FF6AA84F"/>
      </patternFill>
    </fill>
    <fill>
      <patternFill patternType="solid">
        <fgColor rgb="FFFF0000"/>
        <bgColor rgb="FFFF0000"/>
      </patternFill>
    </fill>
    <fill>
      <patternFill patternType="solid">
        <fgColor rgb="FFE0F7FA"/>
        <bgColor rgb="FFE0F7FA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4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1" fillId="3" fontId="1" numFmtId="0" xfId="0" applyAlignment="1" applyBorder="1" applyFill="1" applyFont="1">
      <alignment horizontal="center" readingOrder="0" vertical="bottom"/>
    </xf>
    <xf borderId="1" fillId="3" fontId="2" numFmtId="0" xfId="0" applyAlignment="1" applyBorder="1" applyFill="1" applyFont="1">
      <alignment horizontal="center" readingOrder="0"/>
    </xf>
    <xf borderId="1" fillId="2" fontId="3" numFmtId="0" xfId="0" applyAlignment="1" applyBorder="1" applyFill="1" applyFont="1">
      <alignment horizontal="center" readingOrder="0" vertical="center"/>
    </xf>
    <xf borderId="1" fillId="3" fontId="2" numFmtId="0" xfId="0" applyAlignment="1" applyBorder="1" applyFill="1" applyFont="1">
      <alignment horizontal="center"/>
    </xf>
    <xf borderId="1" fillId="2" fontId="3" numFmtId="49" xfId="0" applyAlignment="1" applyBorder="1" applyFill="1" applyFont="1" applyNumberFormat="1">
      <alignment horizontal="center" readingOrder="0" vertical="center"/>
    </xf>
    <xf borderId="1" fillId="2" fontId="1" numFmtId="49" xfId="0" applyAlignment="1" applyBorder="1" applyFill="1" applyFont="1" applyNumberFormat="1">
      <alignment horizontal="center" readingOrder="0" vertical="center"/>
    </xf>
    <xf borderId="1" fillId="2" fontId="1" numFmtId="0" xfId="0" applyAlignment="1" applyBorder="1" applyFill="1" applyFont="1">
      <alignment horizontal="center" readingOrder="0"/>
    </xf>
    <xf borderId="1" fillId="2" fontId="4" numFmtId="0" xfId="0" applyAlignment="1" applyBorder="1" applyFill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/>
    </xf>
    <xf borderId="1" fillId="2" fontId="1" numFmtId="0" xfId="0" applyAlignment="1" applyBorder="1" applyFill="1" applyFont="1">
      <alignment horizontal="center"/>
    </xf>
    <xf borderId="0" fillId="0" fontId="5" numFmtId="0" xfId="0" applyAlignment="1" applyFont="1">
      <alignment readingOrder="0"/>
    </xf>
    <xf borderId="1" fillId="0" fontId="5" numFmtId="0" xfId="0" applyAlignment="1" applyBorder="1" applyFont="1">
      <alignment horizontal="center"/>
    </xf>
    <xf borderId="0" fillId="2" fontId="1" numFmtId="0" xfId="0" applyAlignment="1" applyFill="1" applyFont="1">
      <alignment horizontal="center" readingOrder="0" vertical="center"/>
    </xf>
    <xf borderId="1" fillId="2" fontId="1" numFmtId="0" xfId="0" applyAlignment="1" applyBorder="1" applyFill="1" applyFont="1">
      <alignment horizontal="center" vertical="center"/>
    </xf>
    <xf borderId="1" fillId="4" fontId="2" numFmtId="0" xfId="0" applyAlignment="1" applyBorder="1" applyFill="1" applyFont="1">
      <alignment horizontal="center"/>
    </xf>
    <xf borderId="1" fillId="3" fontId="7" numFmtId="0" xfId="0" applyAlignment="1" applyBorder="1" applyFill="1" applyFont="1">
      <alignment horizontal="center"/>
    </xf>
    <xf borderId="1" fillId="2" fontId="1" numFmtId="165" xfId="0" applyAlignment="1" applyBorder="1" applyFill="1" applyFont="1" applyNumberFormat="1">
      <alignment horizontal="center" readingOrder="0" vertical="center"/>
    </xf>
    <xf borderId="1" fillId="0" fontId="5" numFmtId="0" xfId="0" applyBorder="1" applyFont="1"/>
    <xf borderId="0" fillId="0" fontId="1" numFmtId="0" xfId="0" applyAlignment="1" applyFont="1">
      <alignment horizontal="center" vertical="center"/>
    </xf>
    <xf borderId="1" fillId="3" fontId="3" numFmtId="164" xfId="0" applyAlignment="1" applyBorder="1" applyFill="1" applyFont="1" applyNumberFormat="1">
      <alignment horizontal="center" readingOrder="0" vertical="bottom"/>
    </xf>
    <xf borderId="1" fillId="5" fontId="3" numFmtId="164" xfId="0" applyAlignment="1" applyBorder="1" applyFill="1" applyFont="1" applyNumberFormat="1">
      <alignment horizontal="center" vertical="bottom"/>
    </xf>
    <xf borderId="1" fillId="3" fontId="3" numFmtId="0" xfId="0" applyAlignment="1" applyBorder="1" applyFill="1" applyFont="1">
      <alignment horizontal="center" readingOrder="0" vertical="bottom"/>
    </xf>
    <xf borderId="1" fillId="5" fontId="3" numFmtId="0" xfId="0" applyAlignment="1" applyBorder="1" applyFill="1" applyFont="1">
      <alignment horizontal="center" vertical="bottom"/>
    </xf>
    <xf borderId="1" fillId="3" fontId="5" numFmtId="0" xfId="0" applyAlignment="1" applyBorder="1" applyFill="1" applyFont="1">
      <alignment horizontal="center" readingOrder="0"/>
    </xf>
    <xf borderId="1" fillId="5" fontId="3" numFmtId="0" xfId="0" applyAlignment="1" applyBorder="1" applyFill="1" applyFont="1">
      <alignment horizontal="center" readingOrder="0" vertical="bottom"/>
    </xf>
    <xf borderId="1" fillId="5" fontId="1" numFmtId="0" xfId="0" applyAlignment="1" applyBorder="1" applyFill="1" applyFont="1">
      <alignment horizontal="center" readingOrder="0" vertical="bottom"/>
    </xf>
    <xf borderId="1" fillId="3" fontId="3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readingOrder="0"/>
    </xf>
    <xf borderId="1" fillId="5" fontId="3" numFmtId="0" xfId="0" applyAlignment="1" applyBorder="1" applyFill="1" applyFont="1">
      <alignment horizontal="center" readingOrder="0"/>
    </xf>
    <xf borderId="1" fillId="3" fontId="3" numFmtId="0" xfId="0" applyAlignment="1" applyBorder="1" applyFill="1" applyFont="1">
      <alignment horizontal="center" readingOrder="0"/>
    </xf>
    <xf borderId="0" fillId="3" fontId="3" numFmtId="0" xfId="0" applyAlignment="1" applyFill="1" applyFont="1">
      <alignment horizontal="center" readingOrder="0" vertical="bottom"/>
    </xf>
    <xf borderId="1" fillId="5" fontId="8" numFmtId="166" xfId="0" applyAlignment="1" applyBorder="1" applyFill="1" applyFont="1" applyNumberFormat="1">
      <alignment horizontal="center" readingOrder="0" vertical="bottom"/>
    </xf>
    <xf borderId="1" fillId="5" fontId="8" numFmtId="0" xfId="0" applyAlignment="1" applyBorder="1" applyFill="1" applyFont="1">
      <alignment horizontal="center" readingOrder="0" vertical="bottom"/>
    </xf>
    <xf borderId="1" fillId="3" fontId="1" numFmtId="0" xfId="0" applyAlignment="1" applyBorder="1" applyFill="1" applyFont="1">
      <alignment horizontal="center" readingOrder="0"/>
    </xf>
    <xf borderId="1" fillId="3" fontId="1" numFmtId="165" xfId="0" applyAlignment="1" applyBorder="1" applyFill="1" applyFont="1" applyNumberFormat="1">
      <alignment horizontal="center" readingOrder="0" vertical="bottom"/>
    </xf>
    <xf borderId="0" fillId="3" fontId="3" numFmtId="0" xfId="0" applyAlignment="1" applyFill="1" applyFont="1">
      <alignment horizontal="center"/>
    </xf>
    <xf borderId="1" fillId="4" fontId="2" numFmtId="0" xfId="0" applyAlignment="1" applyBorder="1" applyFill="1" applyFont="1">
      <alignment horizontal="center" readingOrder="0"/>
    </xf>
    <xf borderId="1" fillId="3" fontId="9" numFmtId="0" xfId="0" applyAlignment="1" applyBorder="1" applyFill="1" applyFont="1">
      <alignment horizontal="center" readingOrder="0" vertical="bottom"/>
    </xf>
    <xf borderId="1" fillId="5" fontId="8" numFmtId="167" xfId="0" applyAlignment="1" applyBorder="1" applyFill="1" applyFont="1" applyNumberFormat="1">
      <alignment horizontal="center" readingOrder="0" vertical="bottom"/>
    </xf>
    <xf borderId="1" fillId="6" fontId="1" numFmtId="0" xfId="0" applyAlignment="1" applyBorder="1" applyFill="1" applyFont="1">
      <alignment horizontal="center" readingOrder="0" vertical="center"/>
    </xf>
    <xf borderId="1" fillId="6" fontId="1" numFmtId="49" xfId="0" applyAlignment="1" applyBorder="1" applyFill="1" applyFont="1" applyNumberFormat="1">
      <alignment horizontal="center" readingOrder="0" vertical="center"/>
    </xf>
    <xf borderId="1" fillId="6" fontId="1" numFmtId="0" xfId="0" applyAlignment="1" applyBorder="1" applyFill="1" applyFont="1">
      <alignment horizontal="center"/>
    </xf>
    <xf borderId="0" fillId="6" fontId="1" numFmtId="0" xfId="0" applyAlignment="1" applyFill="1" applyFont="1">
      <alignment horizontal="center" readingOrder="0" vertical="center"/>
    </xf>
    <xf borderId="1" fillId="7" fontId="1" numFmtId="0" xfId="0" applyAlignment="1" applyBorder="1" applyFill="1" applyFont="1">
      <alignment horizontal="center" readingOrder="0" vertical="center"/>
    </xf>
    <xf borderId="1" fillId="7" fontId="1" numFmtId="165" xfId="0" applyAlignment="1" applyBorder="1" applyFill="1" applyFont="1" applyNumberFormat="1">
      <alignment horizontal="center" readingOrder="0" vertical="center"/>
    </xf>
    <xf borderId="1" fillId="5" fontId="8" numFmtId="0" xfId="0" applyAlignment="1" applyBorder="1" applyFill="1" applyFont="1">
      <alignment horizontal="center" readingOrder="0"/>
    </xf>
    <xf borderId="0" fillId="3" fontId="5" numFmtId="0" xfId="0" applyFill="1" applyFont="1"/>
    <xf borderId="1" fillId="3" fontId="3" numFmtId="164" xfId="0" applyAlignment="1" applyBorder="1" applyFill="1" applyFont="1" applyNumberFormat="1">
      <alignment horizontal="center" vertical="bottom"/>
    </xf>
    <xf borderId="1" fillId="3" fontId="1" numFmtId="0" xfId="0" applyAlignment="1" applyBorder="1" applyFill="1" applyFont="1">
      <alignment horizontal="center"/>
    </xf>
    <xf borderId="1" fillId="3" fontId="3" numFmtId="167" xfId="0" applyAlignment="1" applyBorder="1" applyFill="1" applyFont="1" applyNumberFormat="1">
      <alignment horizontal="center" readingOrder="0" vertical="bottom"/>
    </xf>
    <xf borderId="1" fillId="3" fontId="10" numFmtId="0" xfId="0" applyAlignment="1" applyBorder="1" applyFill="1" applyFont="1">
      <alignment horizontal="center" readingOrder="0"/>
    </xf>
    <xf borderId="1" fillId="3" fontId="3" numFmtId="166" xfId="0" applyAlignment="1" applyBorder="1" applyFill="1" applyFont="1" applyNumberFormat="1">
      <alignment horizontal="center" readingOrder="0" vertical="bottom"/>
    </xf>
    <xf borderId="0" fillId="8" fontId="5" numFmtId="0" xfId="0" applyFill="1" applyFont="1"/>
    <xf borderId="1" fillId="3" fontId="1" numFmtId="166" xfId="0" applyAlignment="1" applyBorder="1" applyFill="1" applyFont="1" applyNumberFormat="1">
      <alignment horizontal="center" readingOrder="0"/>
    </xf>
    <xf borderId="1" fillId="3" fontId="11" numFmtId="0" xfId="0" applyAlignment="1" applyBorder="1" applyFill="1" applyFont="1">
      <alignment horizontal="center" vertical="bottom"/>
    </xf>
    <xf borderId="1" fillId="3" fontId="1" numFmtId="166" xfId="0" applyAlignment="1" applyBorder="1" applyFill="1" applyFont="1" applyNumberFormat="1">
      <alignment horizontal="center" vertical="bottom"/>
    </xf>
    <xf borderId="0" fillId="3" fontId="12" numFmtId="0" xfId="0" applyAlignment="1" applyFill="1" applyFont="1">
      <alignment horizontal="center" readingOrder="0"/>
    </xf>
    <xf borderId="1" fillId="3" fontId="5" numFmtId="0" xfId="0" applyBorder="1" applyFill="1" applyFont="1"/>
    <xf borderId="1" fillId="3" fontId="13" numFmtId="0" xfId="0" applyAlignment="1" applyBorder="1" applyFill="1" applyFont="1">
      <alignment horizontal="center" readingOrder="0" vertical="bottom"/>
    </xf>
    <xf borderId="1" fillId="3" fontId="1" numFmtId="0" xfId="0" applyAlignment="1" applyBorder="1" applyFill="1" applyFont="1">
      <alignment horizontal="center" vertical="bottom"/>
    </xf>
    <xf borderId="1" fillId="3" fontId="1" numFmtId="165" xfId="0" applyAlignment="1" applyBorder="1" applyFill="1" applyFont="1" applyNumberFormat="1">
      <alignment horizontal="center" readingOrder="0"/>
    </xf>
    <xf borderId="1" fillId="5" fontId="8" numFmtId="166" xfId="0" applyAlignment="1" applyBorder="1" applyFill="1" applyFont="1" applyNumberFormat="1">
      <alignment horizontal="center" vertical="bottom"/>
    </xf>
    <xf borderId="1" fillId="3" fontId="3" numFmtId="0" xfId="0" applyAlignment="1" applyBorder="1" applyFill="1" applyFont="1">
      <alignment horizontal="center" vertical="bottom"/>
    </xf>
    <xf borderId="1" fillId="3" fontId="3" numFmtId="0" xfId="0" applyAlignment="1" applyBorder="1" applyFill="1" applyFont="1">
      <alignment horizontal="center" readingOrder="0" vertical="bottom"/>
    </xf>
    <xf borderId="1" fillId="3" fontId="3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readingOrder="0" vertical="bottom"/>
    </xf>
    <xf borderId="1" fillId="3" fontId="3" numFmtId="0" xfId="0" applyAlignment="1" applyBorder="1" applyFill="1" applyFont="1">
      <alignment horizontal="center" readingOrder="0"/>
    </xf>
    <xf borderId="1" fillId="5" fontId="1" numFmtId="0" xfId="0" applyAlignment="1" applyBorder="1" applyFill="1" applyFont="1">
      <alignment horizontal="center" vertical="bottom"/>
    </xf>
    <xf borderId="1" fillId="5" fontId="3" numFmtId="168" xfId="0" applyAlignment="1" applyBorder="1" applyFill="1" applyFont="1" applyNumberFormat="1">
      <alignment vertical="bottom"/>
    </xf>
    <xf borderId="1" fillId="3" fontId="1" numFmtId="0" xfId="0" applyAlignment="1" applyBorder="1" applyFill="1" applyFont="1">
      <alignment horizontal="center" readingOrder="0"/>
    </xf>
    <xf borderId="1" fillId="3" fontId="13" numFmtId="0" xfId="0" applyAlignment="1" applyBorder="1" applyFill="1" applyFont="1">
      <alignment horizontal="center" readingOrder="0"/>
    </xf>
    <xf borderId="1" fillId="3" fontId="13" numFmtId="166" xfId="0" applyAlignment="1" applyBorder="1" applyFill="1" applyFont="1" applyNumberFormat="1">
      <alignment horizontal="center" readingOrder="0"/>
    </xf>
    <xf borderId="1" fillId="5" fontId="3" numFmtId="164" xfId="0" applyAlignment="1" applyBorder="1" applyFill="1" applyFont="1" applyNumberFormat="1">
      <alignment horizontal="center" readingOrder="0" vertical="bottom"/>
    </xf>
    <xf borderId="0" fillId="0" fontId="5" numFmtId="49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5" numFmtId="0" xfId="0" applyFont="1"/>
    <xf borderId="0" fillId="0" fontId="5" numFmtId="0" xfId="0" applyAlignment="1" applyFont="1">
      <alignment readingOrder="0"/>
    </xf>
    <xf borderId="1" fillId="9" fontId="3" numFmtId="164" xfId="0" applyAlignment="1" applyBorder="1" applyFill="1" applyFont="1" applyNumberFormat="1">
      <alignment horizontal="center" vertical="bottom"/>
    </xf>
    <xf borderId="1" fillId="9" fontId="3" numFmtId="0" xfId="0" applyAlignment="1" applyBorder="1" applyFill="1" applyFont="1">
      <alignment horizontal="center" vertical="bottom"/>
    </xf>
    <xf borderId="1" fillId="9" fontId="3" numFmtId="0" xfId="0" applyAlignment="1" applyBorder="1" applyFill="1" applyFont="1">
      <alignment horizontal="center" readingOrder="0" vertical="bottom"/>
    </xf>
    <xf borderId="1" fillId="9" fontId="1" numFmtId="0" xfId="0" applyAlignment="1" applyBorder="1" applyFill="1" applyFont="1">
      <alignment horizontal="center" readingOrder="0" vertical="bottom"/>
    </xf>
    <xf borderId="1" fillId="9" fontId="1" numFmtId="0" xfId="0" applyAlignment="1" applyBorder="1" applyFill="1" applyFont="1">
      <alignment horizontal="center" readingOrder="0"/>
    </xf>
    <xf borderId="1" fillId="9" fontId="3" numFmtId="0" xfId="0" applyAlignment="1" applyBorder="1" applyFill="1" applyFont="1">
      <alignment horizontal="center" readingOrder="0"/>
    </xf>
    <xf borderId="1" fillId="10" fontId="3" numFmtId="0" xfId="0" applyAlignment="1" applyBorder="1" applyFill="1" applyFont="1">
      <alignment horizontal="center" readingOrder="0" vertical="bottom"/>
    </xf>
    <xf borderId="1" fillId="9" fontId="8" numFmtId="166" xfId="0" applyAlignment="1" applyBorder="1" applyFill="1" applyFont="1" applyNumberFormat="1">
      <alignment horizontal="center" readingOrder="0" vertical="bottom"/>
    </xf>
    <xf borderId="1" fillId="9" fontId="8" numFmtId="0" xfId="0" applyAlignment="1" applyBorder="1" applyFill="1" applyFont="1">
      <alignment horizontal="center" readingOrder="0" vertical="bottom"/>
    </xf>
    <xf borderId="1" fillId="3" fontId="8" numFmtId="166" xfId="0" applyAlignment="1" applyBorder="1" applyFill="1" applyFont="1" applyNumberFormat="1">
      <alignment horizontal="center" vertical="bottom"/>
    </xf>
    <xf borderId="0" fillId="3" fontId="1" numFmtId="0" xfId="0" applyAlignment="1" applyFill="1" applyFont="1">
      <alignment horizontal="center"/>
    </xf>
    <xf borderId="1" fillId="3" fontId="13" numFmtId="166" xfId="0" applyAlignment="1" applyBorder="1" applyFill="1" applyFont="1" applyNumberFormat="1">
      <alignment horizontal="center" readingOrder="0" vertical="bottom"/>
    </xf>
    <xf borderId="1" fillId="5" fontId="13" numFmtId="0" xfId="0" applyAlignment="1" applyBorder="1" applyFill="1" applyFont="1">
      <alignment horizontal="center" readingOrder="0" vertical="bottom"/>
    </xf>
    <xf borderId="1" fillId="3" fontId="1" numFmtId="165" xfId="0" applyAlignment="1" applyBorder="1" applyFill="1" applyFont="1" applyNumberFormat="1">
      <alignment horizontal="center"/>
    </xf>
    <xf borderId="1" fillId="5" fontId="12" numFmtId="0" xfId="0" applyAlignment="1" applyBorder="1" applyFill="1" applyFont="1">
      <alignment horizontal="center" readingOrder="0"/>
    </xf>
    <xf borderId="1" fillId="3" fontId="8" numFmtId="166" xfId="0" applyAlignment="1" applyBorder="1" applyFill="1" applyFont="1" applyNumberFormat="1">
      <alignment horizontal="center" readingOrder="0" vertical="bottom"/>
    </xf>
    <xf borderId="1" fillId="3" fontId="1" numFmtId="3" xfId="0" applyAlignment="1" applyBorder="1" applyFill="1" applyFont="1" applyNumberFormat="1">
      <alignment horizontal="center" readingOrder="0" vertical="bottom"/>
    </xf>
    <xf borderId="1" fillId="5" fontId="13" numFmtId="0" xfId="0" applyAlignment="1" applyBorder="1" applyFill="1" applyFont="1">
      <alignment horizontal="center" readingOrder="0"/>
    </xf>
    <xf borderId="1" fillId="5" fontId="8" numFmtId="164" xfId="0" applyAlignment="1" applyBorder="1" applyFill="1" applyFont="1" applyNumberFormat="1">
      <alignment horizontal="center" readingOrder="0" vertical="bottom"/>
    </xf>
    <xf borderId="1" fillId="5" fontId="14" numFmtId="0" xfId="0" applyAlignment="1" applyBorder="1" applyFill="1" applyFont="1">
      <alignment horizontal="center" readingOrder="0" vertical="bottom"/>
    </xf>
    <xf borderId="1" fillId="5" fontId="8" numFmtId="0" xfId="0" applyAlignment="1" applyBorder="1" applyFill="1" applyFont="1">
      <alignment horizontal="center" vertical="bottom"/>
    </xf>
    <xf borderId="1" fillId="5" fontId="8" numFmtId="164" xfId="0" applyAlignment="1" applyBorder="1" applyFill="1" applyFont="1" applyNumberForma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5" fontId="9" numFmtId="0" xfId="0" applyAlignment="1" applyBorder="1" applyFill="1" applyFont="1">
      <alignment vertical="bottom"/>
    </xf>
    <xf borderId="1" fillId="5" fontId="3" numFmtId="166" xfId="0" applyAlignment="1" applyBorder="1" applyFill="1" applyFont="1" applyNumberFormat="1">
      <alignment horizontal="center" vertical="bottom"/>
    </xf>
    <xf borderId="1" fillId="5" fontId="13" numFmtId="0" xfId="0" applyAlignment="1" applyBorder="1" applyFill="1" applyFont="1">
      <alignment horizontal="center" vertical="bottom"/>
    </xf>
    <xf borderId="1" fillId="3" fontId="10" numFmtId="0" xfId="0" applyAlignment="1" applyBorder="1" applyFill="1" applyFont="1">
      <alignment horizontal="center" readingOrder="0" vertical="bottom"/>
    </xf>
    <xf borderId="1" fillId="3" fontId="10" numFmtId="0" xfId="0" applyAlignment="1" applyBorder="1" applyFill="1" applyFont="1">
      <alignment horizontal="center"/>
    </xf>
    <xf borderId="1" fillId="3" fontId="10" numFmtId="165" xfId="0" applyAlignment="1" applyBorder="1" applyFill="1" applyFont="1" applyNumberFormat="1">
      <alignment horizontal="center"/>
    </xf>
    <xf borderId="1" fillId="5" fontId="5" numFmtId="0" xfId="0" applyAlignment="1" applyBorder="1" applyFill="1" applyFont="1">
      <alignment horizontal="center" readingOrder="0"/>
    </xf>
    <xf borderId="1" fillId="11" fontId="3" numFmtId="164" xfId="0" applyAlignment="1" applyBorder="1" applyFill="1" applyFont="1" applyNumberFormat="1">
      <alignment horizontal="center" readingOrder="0" vertical="bottom"/>
    </xf>
    <xf borderId="1" fillId="11" fontId="3" numFmtId="0" xfId="0" applyAlignment="1" applyBorder="1" applyFill="1" applyFont="1">
      <alignment horizontal="center" readingOrder="0" vertical="bottom"/>
    </xf>
    <xf borderId="1" fillId="11" fontId="1" numFmtId="0" xfId="0" applyAlignment="1" applyBorder="1" applyFill="1" applyFont="1">
      <alignment horizontal="center" readingOrder="0" vertical="bottom"/>
    </xf>
    <xf borderId="1" fillId="11" fontId="5" numFmtId="0" xfId="0" applyAlignment="1" applyBorder="1" applyFill="1" applyFont="1">
      <alignment horizontal="center" readingOrder="0"/>
    </xf>
    <xf borderId="1" fillId="11" fontId="1" numFmtId="0" xfId="0" applyAlignment="1" applyBorder="1" applyFill="1" applyFont="1">
      <alignment horizontal="center" readingOrder="0"/>
    </xf>
    <xf borderId="1" fillId="11" fontId="3" numFmtId="0" xfId="0" applyAlignment="1" applyBorder="1" applyFill="1" applyFont="1">
      <alignment horizontal="center" readingOrder="0"/>
    </xf>
    <xf borderId="1" fillId="11" fontId="8" numFmtId="166" xfId="0" applyAlignment="1" applyBorder="1" applyFill="1" applyFont="1" applyNumberFormat="1">
      <alignment horizontal="center" readingOrder="0" vertical="bottom"/>
    </xf>
    <xf borderId="1" fillId="11" fontId="8" numFmtId="0" xfId="0" applyAlignment="1" applyBorder="1" applyFill="1" applyFont="1">
      <alignment horizontal="center" readingOrder="0" vertical="bottom"/>
    </xf>
    <xf borderId="1" fillId="11" fontId="1" numFmtId="0" xfId="0" applyAlignment="1" applyBorder="1" applyFill="1" applyFont="1">
      <alignment horizontal="center" vertical="bottom"/>
    </xf>
    <xf borderId="1" fillId="5" fontId="15" numFmtId="0" xfId="0" applyAlignment="1" applyBorder="1" applyFill="1" applyFont="1">
      <alignment horizontal="center" readingOrder="0"/>
    </xf>
    <xf borderId="1" fillId="5" fontId="3" numFmtId="166" xfId="0" applyAlignment="1" applyBorder="1" applyFill="1" applyFont="1" applyNumberFormat="1">
      <alignment horizontal="center" readingOrder="0" vertical="bottom"/>
    </xf>
    <xf borderId="1" fillId="3" fontId="1" numFmtId="166" xfId="0" applyAlignment="1" applyBorder="1" applyFill="1" applyFont="1" applyNumberFormat="1">
      <alignment horizontal="center" readingOrder="0" vertical="bottom"/>
    </xf>
    <xf borderId="1" fillId="5" fontId="1" numFmtId="0" xfId="0" applyAlignment="1" applyBorder="1" applyFill="1" applyFont="1">
      <alignment horizontal="center"/>
    </xf>
    <xf borderId="1" fillId="5" fontId="3" numFmtId="14" xfId="0" applyAlignment="1" applyBorder="1" applyFill="1" applyFont="1" applyNumberFormat="1">
      <alignment horizontal="center" vertical="bottom"/>
    </xf>
    <xf borderId="1" fillId="5" fontId="9" numFmtId="0" xfId="0" applyAlignment="1" applyBorder="1" applyFill="1" applyFont="1">
      <alignment horizontal="center" vertical="bottom"/>
    </xf>
    <xf borderId="1" fillId="5" fontId="10" numFmtId="0" xfId="0" applyAlignment="1" applyBorder="1" applyFill="1" applyFont="1">
      <alignment horizontal="center" readingOrder="0" vertical="bottom"/>
    </xf>
    <xf borderId="1" fillId="12" fontId="3" numFmtId="164" xfId="0" applyAlignment="1" applyBorder="1" applyFill="1" applyFont="1" applyNumberFormat="1">
      <alignment horizontal="center" readingOrder="0" vertical="bottom"/>
    </xf>
    <xf borderId="1" fillId="12" fontId="3" numFmtId="0" xfId="0" applyAlignment="1" applyBorder="1" applyFill="1" applyFont="1">
      <alignment horizontal="center" readingOrder="0" vertical="bottom"/>
    </xf>
    <xf borderId="1" fillId="12" fontId="1" numFmtId="0" xfId="0" applyAlignment="1" applyBorder="1" applyFill="1" applyFont="1">
      <alignment horizontal="center" readingOrder="0" vertical="bottom"/>
    </xf>
    <xf borderId="1" fillId="12" fontId="5" numFmtId="0" xfId="0" applyAlignment="1" applyBorder="1" applyFill="1" applyFont="1">
      <alignment horizontal="center" readingOrder="0"/>
    </xf>
    <xf borderId="1" fillId="12" fontId="3" numFmtId="0" xfId="0" applyAlignment="1" applyBorder="1" applyFill="1" applyFont="1">
      <alignment horizontal="center" vertical="bottom"/>
    </xf>
    <xf borderId="1" fillId="12" fontId="3" numFmtId="0" xfId="0" applyAlignment="1" applyBorder="1" applyFill="1" applyFont="1">
      <alignment horizontal="center" readingOrder="0"/>
    </xf>
    <xf borderId="1" fillId="12" fontId="3" numFmtId="166" xfId="0" applyAlignment="1" applyBorder="1" applyFill="1" applyFont="1" applyNumberFormat="1">
      <alignment horizontal="center" readingOrder="0" vertical="bottom"/>
    </xf>
    <xf borderId="0" fillId="13" fontId="16" numFmtId="0" xfId="0" applyAlignment="1" applyFill="1" applyFont="1">
      <alignment shrinkToFit="0" vertical="bottom" wrapText="0"/>
    </xf>
    <xf borderId="0" fillId="3" fontId="3" numFmtId="164" xfId="0" applyAlignment="1" applyFill="1" applyFont="1" applyNumberFormat="1">
      <alignment horizontal="center" readingOrder="0" vertical="bottom"/>
    </xf>
    <xf borderId="0" fillId="3" fontId="1" numFmtId="0" xfId="0" applyAlignment="1" applyFill="1" applyFont="1">
      <alignment horizontal="center" readingOrder="0" vertical="bottom"/>
    </xf>
    <xf borderId="0" fillId="3" fontId="5" numFmtId="0" xfId="0" applyAlignment="1" applyFill="1" applyFont="1">
      <alignment horizontal="center" readingOrder="0"/>
    </xf>
    <xf borderId="0" fillId="3" fontId="3" numFmtId="0" xfId="0" applyAlignment="1" applyFill="1" applyFont="1">
      <alignment horizontal="center" readingOrder="0"/>
    </xf>
    <xf borderId="0" fillId="3" fontId="3" numFmtId="166" xfId="0" applyAlignment="1" applyFill="1" applyFont="1" applyNumberFormat="1">
      <alignment horizontal="center" readingOrder="0" vertical="bottom"/>
    </xf>
    <xf borderId="0" fillId="3" fontId="1" numFmtId="165" xfId="0" applyAlignment="1" applyFill="1" applyFont="1" applyNumberFormat="1">
      <alignment horizontal="center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F7FA"/>
          <bgColor rgb="FFE0F7FA"/>
        </patternFill>
      </fill>
      <border/>
    </dxf>
  </dxfs>
  <tableStyles count="7">
    <tableStyle count="2" pivot="0" name="GUSTAVO RAMIREZ-style">
      <tableStyleElement dxfId="1" type="firstRowStripe"/>
      <tableStyleElement dxfId="2" type="secondRowStripe"/>
    </tableStyle>
    <tableStyle count="2" pivot="0" name="LUCAS RICO-style">
      <tableStyleElement dxfId="1" type="firstRowStripe"/>
      <tableStyleElement dxfId="2" type="secondRowStripe"/>
    </tableStyle>
    <tableStyle count="2" pivot="0" name="LUIS ANGULO-style">
      <tableStyleElement dxfId="1" type="firstRowStripe"/>
      <tableStyleElement dxfId="2" type="secondRowStripe"/>
    </tableStyle>
    <tableStyle count="2" pivot="0" name="HECTOR JAVIER CORTES -style">
      <tableStyleElement dxfId="1" type="firstRowStripe"/>
      <tableStyleElement dxfId="2" type="secondRowStripe"/>
    </tableStyle>
    <tableStyle count="2" pivot="0" name="HECTOR JAVIER CORTES -style 2">
      <tableStyleElement dxfId="2" type="firstRowStripe"/>
      <tableStyleElement dxfId="1" type="secondRowStripe"/>
    </tableStyle>
    <tableStyle count="2" pivot="0" name="WILLIAM RUIZ-style">
      <tableStyleElement dxfId="1" type="firstRowStripe"/>
      <tableStyleElement dxfId="2" type="secondRowStripe"/>
    </tableStyle>
    <tableStyle count="2" pivot="0" name="NELSON VARGAS 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pivotCacheDefinition" Target="pivotCache/pivotCacheDefinition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L454" sheet="INVENTARIO GENERAL"/>
  </cacheSource>
  <cacheFields>
    <cacheField name="FECHA">
      <sharedItems containsDate="1" containsBlank="1" containsMixedTypes="1">
        <d v="2026-09-10T00:00:00Z"/>
        <d v="2026-06-11T00:00:00Z"/>
        <d v="2026-08-19T00:00:00Z"/>
        <d v="2025-08-28T00:00:00Z"/>
        <d v="2026-04-29T00:00:00Z"/>
        <d v="2026-06-16T00:00:00Z"/>
        <d v="2026-06-01T00:00:00Z"/>
        <d v="2026-07-22T00:00:00Z"/>
        <d v="2026-07-06T00:00:00Z"/>
        <s v="N/A"/>
        <d v="2026-06-09T00:00:00Z"/>
        <d v="2026-03-04T00:00:00Z"/>
        <d v="2026-03-06T00:00:00Z"/>
        <d v="2026-04-30T00:00:00Z"/>
        <m/>
        <d v="2024-08-26T14:37:04Z"/>
        <d v="2026-04-20T00:00:00Z"/>
        <s v="11//06/2026"/>
        <d v="2026-05-22T00:00:00Z"/>
      </sharedItems>
    </cacheField>
    <cacheField name="FACTURA">
      <sharedItems containsBlank="1" containsMixedTypes="1" containsNumber="1">
        <s v="SDS / 62405"/>
        <n v="59889.0"/>
        <s v="N/A"/>
        <n v="2.093501849E9"/>
        <s v="SDS / 59978"/>
        <s v="SDS/1032985"/>
        <s v="SDS / 62406"/>
        <s v="SDS/60913"/>
        <m/>
        <s v="FA- 224440"/>
        <s v="SDS / 59836"/>
        <n v="46195.64260555556"/>
        <n v="46195.64324613426"/>
        <s v="SDS-59889"/>
        <s v="6010-00699-26"/>
        <s v="6010-00626-03"/>
        <s v="SDS / 61700"/>
        <s v="SDS/ 59889"/>
        <s v="SDS/61700"/>
        <n v="44430.0"/>
        <s v="SDS / 59889"/>
        <n v="1332601.0"/>
      </sharedItems>
    </cacheField>
    <cacheField name="CODIGO DE &#10;BARRAS">
      <sharedItems containsBlank="1" containsMixedTypes="1" containsNumber="1" containsInteger="1">
        <s v="N/A"/>
        <n v="4.998114565E9"/>
        <s v="F01U397739"/>
        <n v="4.998117557E9"/>
        <s v="F01U406041"/>
        <n v="7.81410006218E11"/>
        <s v="F01U414143"/>
        <s v="F01U029861"/>
        <s v="F01U002248"/>
        <s v="F01U413581"/>
        <n v="7.81410000872E11"/>
        <n v="6.76544009023E11"/>
        <s v="F01U364870"/>
        <s v="F01U364820"/>
        <s v="F01U383080"/>
        <s v="F01U397025"/>
        <n v="7.81410000834E11"/>
        <s v="F01U416973"/>
        <s v="F01U416974"/>
        <s v="F01U003366"/>
        <s v="F01U383351"/>
        <s v="F01U029857"/>
        <s v="HC-S58"/>
        <s v="F01U385668"/>
        <m/>
      </sharedItems>
    </cacheField>
    <cacheField name="DESCRIPCIÓN" numFmtId="0">
      <sharedItems containsBlank="1">
        <s v="BATERIA CARGA SECA 12V - 7A"/>
        <s v="BASE CON RELE PARA SENSOR DE HUMO MSR-320"/>
        <s v="BASE DETECTOR BOSCH FCA - 350 - B6R12"/>
        <s v="BASE DETECTOR DE HUMO ECO 1000"/>
        <s v="BOTON DE PANICO FIJO BOSCH ISC-PB1-100"/>
        <s v="BOTON DE PANICO RESIDEO 270R"/>
        <s v="CARRETA DE CABLE UTP CAT 5E"/>
        <s v="COMUNICADOR BOSCH B444-G"/>
        <s v="CONTACTO MAGNETICO PESADO RESIDEO"/>
        <s v="CONTACTO MAGNETICO LIVIANO "/>
        <s v="DETECTOR DE MOVIMIENTO BOSCH DS9370"/>
        <s v="DETECTOR DE TEMPERATURA BOSCH FCH - T320-R470"/>
        <s v="DETECTOR DE TEMPERATURA 502"/>
        <s v="DETECTOR SISMICO ISN-SM-50"/>
        <s v="DISCRIMINADOR DE AUDIO BOSCH DS11021I"/>
        <s v="EXPANSOR DE ZONAS HONEYWELL 4219"/>
        <s v="FUENTE REGULADORA DE 6/12/24 VCD 3A"/>
        <s v="FUENTE REGULAR DE 5"/>
        <s v="INFRARROJO SENCILLO ISC-BDL2-WP12"/>
        <s v="INFRARROJO ANTIMASKING BOSCH CDL2-A15"/>
        <s v="MODULO DE RELEVOS BOSCH B308"/>
        <s v="MODULO DE RELEVOS HONEYWELL 4204"/>
        <s v="PANEL BOSCH B9512G"/>
        <s v="PANEL BOSCH B8512G"/>
        <s v="PLACA DE MONTAJE PARA SENSOR SISMICO GMXPO"/>
        <s v="PULSADOR DE PANICO INALAMBRICO BOSCH RFPB-SB "/>
        <s v="SENSOR DE HUMO OPTICO FCP-0320-R470"/>
        <s v="SENSOR DE MOVIMIENTO HONEYWELL IS3035"/>
        <s v="SIRENA DOBLE TONO 30W-120 DB-D117"/>
        <s v="TECLADO BOSCH B920"/>
        <s v="TRANSFORMADOR AD 1361-GT 16.5V B"/>
        <m/>
      </sharedItems>
    </cacheField>
    <cacheField name="CANTIDAD " numFmtId="0">
      <sharedItems containsString="0" containsBlank="1" containsNumber="1" containsInteger="1">
        <n v="1.0"/>
        <m/>
      </sharedItems>
    </cacheField>
    <cacheField name="No SDS " numFmtId="0">
      <sharedItems containsBlank="1">
        <s v="SDS - 1045637"/>
        <s v="SDS - 1045640"/>
        <s v="SDS - 1045643"/>
        <s v="SDS - 1045648"/>
        <s v="SDS - 1045645"/>
        <s v="SDS - 1045642"/>
        <s v="SDS - 1045639"/>
        <s v="SDS - 1045636"/>
        <s v="SDS - 1045606"/>
        <s v="SDS - 1045600"/>
        <s v="SDS - 1045594"/>
        <s v="SDS - 1045603"/>
        <s v="SDS - 1045597"/>
        <s v="SDS - 1045607"/>
        <s v="SDS - 1045604"/>
        <s v="SDS - 1045601"/>
        <s v="SDS - 1045598"/>
        <s v="SDS - 1045609"/>
        <s v="SDS - 1045621"/>
        <s v="SDS - 1045624"/>
        <s v="SDS - 1045627"/>
        <s v="SDS - 1045630"/>
        <s v="SDS - 1045633"/>
        <s v="SDS - 1045641"/>
        <s v="SDS - 1045644"/>
        <s v="SDS - 1045595"/>
        <s v="SDS - 1045647"/>
        <s v="SDS - 1045646"/>
        <s v="SDS-1043596"/>
        <s v="SDS-1040392"/>
        <s v="SDS-1043575"/>
        <s v="SDS-1043621"/>
        <s v="SDS-1043636"/>
        <s v="SDS-1043618"/>
        <s v="SDS-1043617"/>
        <s v="SDS-1040387"/>
        <s v="SDS-1040406"/>
        <s v="SDS-1043595"/>
        <s v="SDS-1043580"/>
        <s v="SDS-1043584"/>
        <s v="SDS-1043622"/>
        <s v="SDS-1043599"/>
        <s v="SDS-1043600"/>
        <s v="SDS-1043623"/>
        <s v="SDS-1043583"/>
        <s v="SDS-1043572"/>
        <s v="SDS-1043631"/>
        <s v="SDS-1043640"/>
        <s v="SDS-1043592"/>
        <s v="SDS-1043576"/>
        <s v="SDS-1043591"/>
        <s v="SDS/1044588"/>
        <s v="SDS/1044591"/>
        <s v="SDS/1044582"/>
        <s v="SDS/1044583"/>
        <s v="SDS/1044584"/>
        <s v="SDS/1044589"/>
        <s v="SDS/1044586"/>
        <s v="SDS-1040405"/>
        <s v="N/A"/>
        <s v="SDS - 1032926"/>
        <s v="SDS - 1037100"/>
        <s v="SDS - 1032361"/>
        <s v="SDS - 1032359"/>
        <s v="SDS - 1032938"/>
        <s v="SDS - 1032391"/>
        <s v="SDS - 1032375"/>
        <s v="SDS - 1032381"/>
        <s v="SDS/1032985"/>
        <s v="SDS - 1045888"/>
        <s v="SDS - 1045862"/>
        <s v="SDS - 1045909"/>
        <s v="SDS - 1045898"/>
        <s v="SDS - 1045923"/>
        <s v="SDS - 1045897"/>
        <s v="SDS - 1045873"/>
        <s v="SDS - 1045876"/>
        <s v="SDS - 1045854"/>
        <s v="SDS - 1045851"/>
        <s v="SDS - 1045856"/>
        <s v="SDS - 1045913"/>
        <s v="SDS - 1045866"/>
        <s v="SDS - 1045894"/>
        <s v="SDS - 1045905"/>
        <s v="SDS - 1045853"/>
        <s v="SDS - 1045916"/>
        <s v="SDS - 1045896"/>
        <s v="SDS - 1045869"/>
        <s v="SDS - 1045882"/>
        <s v="SDS - 1045878"/>
        <s v="SDS - 1045924"/>
        <s v="SDS - 1045852"/>
        <s v="SDS - 1045912"/>
        <s v="SDS - 1045850"/>
        <s v="SDS - 1045867"/>
        <s v="SDS - 1045918"/>
        <s v="SDS - 1045855"/>
        <s v="SDS - 1045903"/>
        <s v="SDS - 1045901"/>
        <s v="SDS - 1045858"/>
        <s v="SDS - 1045860"/>
        <s v="SDS - 1045915"/>
        <s v="SDS - 1045870"/>
        <s v="SDS - 1045891"/>
        <s v="SDS - 1045871"/>
        <s v="SDS - 1045892"/>
        <s v="SDS - 1045868"/>
        <s v="SDS - 1045884"/>
        <s v="SDS - 1045920"/>
        <s v="SDS - 1045895"/>
        <s v="SDS - 1045910"/>
        <s v="SDS - 1045881"/>
        <s v="SDS - 1045906"/>
        <s v="SDS - 1045883"/>
        <s v="SDS - 1045886"/>
        <s v="SDS - 1045861"/>
        <s v="SDS - 1045880"/>
        <s v="SDS - 1045900"/>
        <s v="SDS - 1045907"/>
        <s v="SDS - 1045889"/>
        <s v="SDS - 1045921"/>
        <s v="SDS - 1045919"/>
        <s v="SDS - 1045863"/>
        <s v="SDS - 1045925"/>
        <s v="SDS - 1045879"/>
        <s v="SDS - 1045877"/>
        <s v="SDS - 1045890"/>
        <s v="SDS - 1045885"/>
        <s v="SDS - 1045874"/>
        <s v="SDS - 1045914"/>
        <s v="SDS - 1045875"/>
        <s v="SDS - 1045904"/>
        <s v="SDS - 1045859"/>
        <s v="SDS - 1045908"/>
        <s v="SDS - 1045864"/>
        <s v="SDS - 1045911"/>
        <s v="SDS - 1045857"/>
        <s v="SDS - 1045865"/>
        <s v="SDS - 1045922"/>
        <s v="SDS/1026441"/>
        <s v="SDS/1026426"/>
        <s v="SDS/1044554"/>
        <s v="SDS - 1026106"/>
        <s v="SDS - 1028253"/>
        <s v="SDS - 1045840"/>
        <s v="SDS - 1045848"/>
        <s v="SDS - 1045835"/>
        <s v="SDS - 1045844"/>
        <s v="SDS - 1045837"/>
        <s v="SDS - 1045847"/>
        <s v="SDS - 10455846"/>
        <s v="SDS - 1045836"/>
        <s v="SDS - 1045843"/>
        <s v="SDS - 1045845"/>
        <s v="SDS/1044607"/>
        <s v="SDS/1044600"/>
        <s v="SDS/1044609"/>
        <s v="SDS/1044601"/>
        <s v="SDS/1044602"/>
        <s v="SDS/1044608"/>
        <s v="SDS/1033014"/>
        <s v="SDS - 1045656"/>
        <s v="SDS - 1045660"/>
        <s v="SDS - 1045653"/>
        <s v="SDS - 1045661"/>
        <s v="SDS - 1045663"/>
        <s v="SDS - 1045657"/>
        <s v="SDS - 1045650"/>
        <s v="SDS - 1045649"/>
        <s v="SDS/1043222"/>
        <s v="SDS/1044532"/>
        <s v="SDS/1044545"/>
        <s v="SDS/1044546"/>
        <s v="SDS/1044548"/>
        <s v="SDS/1044534"/>
        <s v="SDS/1044540"/>
        <s v="SDS/1044542"/>
        <s v="SDS/1044539"/>
        <s v="SDS/1044538"/>
        <s v="SDS/1044536"/>
        <s v="SDS/1044537"/>
        <s v="SDS/1044533"/>
        <s v="SDS/1044543"/>
        <s v="SDS1044544"/>
        <s v="SDS/1044541"/>
        <s v="SDS/1044560"/>
        <s v="SDS / 1044555"/>
        <s v="SDS / 1044552"/>
        <s v="SDS/1044549"/>
        <s v="SDS/1043556"/>
        <s v="SDS/1043554"/>
        <s v="SDS/1043524"/>
        <s v="SDS/1043537"/>
        <s v="SDS/1044567"/>
        <s v="SDS/1044574"/>
        <s v="SDS/1044571"/>
        <s v="SDS/1044565"/>
        <s v="SDS/1044570"/>
        <s v="SDS/1044576"/>
        <s v="SDS/1043566"/>
        <s v="SDS1017299"/>
        <s v="SDS1024388"/>
        <s v="SDS1043184"/>
        <s v="SDS1043192"/>
        <s v="SDS1043197"/>
        <s v="SDS1043196"/>
        <s v="SDS1043191"/>
        <s v="SDS1043198"/>
        <m/>
        <s v="SDS - 1045809"/>
        <s v="SDS - 1041793"/>
        <s v="SDS - 1033138"/>
        <s v="SDS - 1041798"/>
        <s v="SDS - 1045821"/>
        <s v="SDS - 1045815"/>
        <s v="SDS - 1045817"/>
        <s v="SDS - 1045806"/>
        <s v="SDS - 1041790"/>
        <s v="SDS - 1033093"/>
        <s v="SDS - 1041795"/>
        <s v="SDS - 1041792"/>
        <s v="SDS - 1045812"/>
        <s v="SDS - 1033095"/>
        <s v="SDS - 1033090"/>
        <s v="SDS - 1033144"/>
        <s v="SDS - 1045833"/>
      </sharedItems>
    </cacheField>
    <cacheField name="ID. EQUIPO">
      <sharedItems containsBlank="1" containsMixedTypes="1" containsNumber="1" containsInteger="1">
        <s v="N/A"/>
        <s v="092256847706150382"/>
        <s v="092256847892120799"/>
        <s v="092256843997580485"/>
        <s v="092256847517520244"/>
        <s v="092256847706150380"/>
        <s v="092256843997580474"/>
        <s v="092256847517520243"/>
        <s v="092256847591000839"/>
        <s v="092256847706150248"/>
        <s v="042247244018010048"/>
        <s v="042247244018010031"/>
        <s v="042247247821010032"/>
        <s v="042260147406100087"/>
        <s v="042260147406100078"/>
        <s v="093140637483920042"/>
        <s v="093140637483920008"/>
        <s v="093140637483920005"/>
        <s v="093140637483920057"/>
        <s v="093140637548960112"/>
        <s v="093140633849210131"/>
        <s v="093140637483920024"/>
        <n v="2.503380322E9"/>
        <n v="2.503380634E9"/>
        <n v="2.503380871E9"/>
        <n v="2.503380632E9"/>
        <n v="2.503380506E9"/>
        <s v="042259553918100060"/>
        <s v="042259543823100020"/>
        <s v="042259543823100023"/>
        <s v="042163653706100237"/>
        <s v="042163663902100289"/>
        <s v="042163663902100268"/>
        <s v="042163663902100267"/>
        <s v="042163663902100298"/>
        <s v="042163663902100296"/>
        <s v="042163663902100221"/>
        <s v="042163663902100266"/>
        <s v="042163663902100294"/>
        <s v="042163663902100273"/>
        <s v="042163663902100270"/>
        <s v="042163663902100222"/>
        <s v="042163663902100288"/>
        <s v="042163663902100291"/>
        <s v="042163663902100275"/>
        <s v="042163663902100271"/>
        <s v="042164263916100024"/>
        <s v="042163657505100602"/>
        <s v="042207947828030060"/>
        <s v="042239837511100112"/>
        <s v="042239847828100010"/>
        <s v="042239847329100119"/>
        <s v="042239847403100070"/>
        <s v="042239847329100110"/>
        <s v="042239847403100079"/>
        <s v="042239863706100089"/>
        <s v="042239863706100084"/>
        <n v="7.702022200377E12"/>
        <n v="7.702022200386E12"/>
        <s v="042275147311100016"/>
        <s v="042275263716100041"/>
        <s v="042186047630100067"/>
        <s v="042186047619100083"/>
        <s v="042186047619100132"/>
        <s v="042186047511100011"/>
        <s v="042186337611100232"/>
        <s v="042198727712100002"/>
        <s v="042198727522100045"/>
        <s v="042198727522100047"/>
        <s v="042198727522100050"/>
        <s v="042198727522100040"/>
        <s v="042198727522100051"/>
        <s v="042198727522100031"/>
        <s v="042198727522100036"/>
        <m/>
      </sharedItems>
    </cacheField>
    <cacheField name="SERIALES GSB">
      <sharedItems containsBlank="1" containsMixedTypes="1" containsNumber="1" containsInteger="1">
        <n v="10517.0"/>
        <n v="10518.0"/>
        <n v="10519.0"/>
        <n v="10521.0"/>
        <n v="10522.0"/>
        <n v="10523.0"/>
        <n v="10524.0"/>
        <n v="10525.0"/>
        <n v="10526.0"/>
        <n v="10527.0"/>
        <n v="10528.0"/>
        <n v="10529.0"/>
        <n v="10530.0"/>
        <n v="10531.0"/>
        <n v="10532.0"/>
        <n v="10533.0"/>
        <n v="10534.0"/>
        <n v="10535.0"/>
        <n v="10536.0"/>
        <n v="10537.0"/>
        <n v="10538.0"/>
        <n v="10539.0"/>
        <n v="10540.0"/>
        <n v="10541.0"/>
        <n v="10542.0"/>
        <n v="10543.0"/>
        <n v="10544.0"/>
        <n v="10545.0"/>
        <n v="10333.0"/>
        <n v="10314.0"/>
        <n v="10303.0"/>
        <n v="10337.0"/>
        <n v="10326.0"/>
        <n v="10321.0"/>
        <n v="10320.0"/>
        <n v="10318.0"/>
        <n v="10317.0"/>
        <n v="10316.0"/>
        <n v="10350.0"/>
        <n v="10346.0"/>
        <n v="10345.0"/>
        <n v="10348.0"/>
        <n v="10344.0"/>
        <n v="10343.0"/>
        <n v="10339.0"/>
        <n v="10325.0"/>
        <n v="10324.0"/>
        <n v="10327.0"/>
        <n v="10328.0"/>
        <n v="10323.0"/>
        <n v="10322.0"/>
        <n v="10476.0"/>
        <n v="10478.0"/>
        <n v="10479.0"/>
        <n v="10480.0"/>
        <n v="10481.0"/>
        <n v="10482.0"/>
        <n v="10483.0"/>
        <n v="10315.0"/>
        <n v="6817.0"/>
        <n v="6839.0"/>
        <n v="10185.0"/>
        <n v="5575.0"/>
        <n v="5777.0"/>
        <n v="5121.0"/>
        <n v="4875.0"/>
        <n v="5573.0"/>
        <n v="5110.0"/>
        <n v="4874.0"/>
        <n v="4978.0"/>
        <n v="5604.0"/>
        <n v="10566.0"/>
        <n v="10567.0"/>
        <n v="10568.0"/>
        <n v="10569.0"/>
        <n v="10570.0"/>
        <n v="10571.0"/>
        <n v="10572.0"/>
        <n v="10573.0"/>
        <n v="10574.0"/>
        <n v="10575.0"/>
        <n v="10576.0"/>
        <n v="10577.0"/>
        <n v="10578.0"/>
        <n v="10579.0"/>
        <n v="10580.0"/>
        <n v="10581.0"/>
        <n v="10582.0"/>
        <n v="10583.0"/>
        <n v="10584.0"/>
        <n v="10585.0"/>
        <n v="10586.0"/>
        <n v="10587.0"/>
        <n v="10588.0"/>
        <n v="10589.0"/>
        <n v="10590.0"/>
        <n v="10591.0"/>
        <n v="10592.0"/>
        <n v="10593.0"/>
        <n v="10594.0"/>
        <n v="10595.0"/>
        <n v="10596.0"/>
        <n v="10597.0"/>
        <n v="10598.0"/>
        <n v="10599.0"/>
        <n v="10600.0"/>
        <n v="10601.0"/>
        <n v="10602.0"/>
        <n v="10603.0"/>
        <n v="10604.0"/>
        <n v="10605.0"/>
        <n v="10606.0"/>
        <n v="10607.0"/>
        <n v="10608.0"/>
        <n v="10609.0"/>
        <n v="10610.0"/>
        <n v="10611.0"/>
        <n v="10612.0"/>
        <n v="10613.0"/>
        <n v="10614.0"/>
        <n v="10615.0"/>
        <n v="10616.0"/>
        <n v="10617.0"/>
        <n v="10618.0"/>
        <n v="10619.0"/>
        <n v="10620.0"/>
        <n v="10621.0"/>
        <n v="10622.0"/>
        <n v="10623.0"/>
        <n v="10624.0"/>
        <n v="10625.0"/>
        <n v="10626.0"/>
        <n v="10627.0"/>
        <n v="10628.0"/>
        <n v="10629.0"/>
        <n v="10630.0"/>
        <n v="10631.0"/>
        <n v="10632.0"/>
        <n v="10633.0"/>
        <n v="10634.0"/>
        <n v="10637.0"/>
        <s v="N/A"/>
        <n v="10436.0"/>
        <n v="10437.0"/>
        <n v="10458.0"/>
        <n v="9074.0"/>
        <n v="9073.0"/>
        <n v="1657.0"/>
        <n v="1658.0"/>
        <n v="10233.0"/>
        <n v="10239.0"/>
        <n v="10240.0"/>
        <n v="10241.0"/>
        <n v="10242.0"/>
        <n v="10243.0"/>
        <n v="10244.0"/>
        <n v="10546.0"/>
        <n v="10547.0"/>
        <n v="10548.0"/>
        <n v="10549.0"/>
        <n v="10550.0"/>
        <n v="10551.0"/>
        <n v="10552.0"/>
        <n v="10553.0"/>
        <n v="10554.0"/>
        <n v="10555.0"/>
        <n v="7434.0"/>
        <n v="7491.0"/>
        <n v="7505.0"/>
        <n v="7438.0"/>
        <n v="7423.0"/>
        <n v="10502.0"/>
        <n v="10503.0"/>
        <n v="10504.0"/>
        <n v="10505.0"/>
        <n v="10506.0"/>
        <n v="10507.0"/>
        <n v="5927.0"/>
        <n v="5399.0"/>
        <n v="5394.0"/>
        <n v="9066.0"/>
        <n v="9067.0"/>
        <n v="10099.0"/>
        <n v="10100.0"/>
        <n v="10101.0"/>
        <n v="10104.0"/>
        <n v="10110.0"/>
        <n v="10417.0"/>
        <n v="10418.0"/>
        <n v="10421.0"/>
        <n v="10424.0"/>
        <n v="10425.0"/>
        <n v="10426.0"/>
        <n v="10556.0"/>
        <n v="10557.0"/>
        <n v="10558.0"/>
        <n v="10559.0"/>
        <n v="10560.0"/>
        <n v="10561.0"/>
        <n v="10562.0"/>
        <n v="10563.0"/>
        <n v="10162.0"/>
        <n v="1765.0"/>
        <n v="10227.0"/>
        <n v="10461.0"/>
        <n v="10462.0"/>
        <n v="10463.0"/>
        <n v="10464.0"/>
        <n v="10465.0"/>
        <n v="10466.0"/>
        <n v="10467.0"/>
        <n v="10468.0"/>
        <n v="10469.0"/>
        <n v="10470.0"/>
        <n v="10471.0"/>
        <n v="10472.0"/>
        <n v="10473.0"/>
        <n v="10474.0"/>
        <n v="10475.0"/>
        <n v="10213.0"/>
        <n v="10224.0"/>
        <n v="10497.0"/>
        <n v="1360.0"/>
        <n v="10161.0"/>
        <n v="5319.0"/>
        <n v="10371.0"/>
        <n v="10372.0"/>
        <n v="10373.0"/>
        <n v="10374.0"/>
        <n v="10456.0"/>
        <n v="10457.0"/>
        <n v="1043.0"/>
        <n v="9079.0"/>
        <n v="1042.0"/>
        <n v="10113.0"/>
        <n v="10114.0"/>
        <n v="9063.0"/>
        <n v="10455.0"/>
        <n v="8515.0"/>
        <n v="8497.0"/>
        <n v="4306.0"/>
        <n v="2289.0"/>
        <n v="2285.0"/>
        <n v="4086.0"/>
        <n v="10163.0"/>
        <n v="10284.0"/>
        <n v="10276.0"/>
        <n v="10281.0"/>
        <n v="10286.0"/>
        <n v="10484.0"/>
        <n v="10485.0"/>
        <n v="10486.0"/>
        <n v="10487.0"/>
        <n v="10490.0"/>
        <n v="10491.0"/>
        <n v="10292.0"/>
        <n v="9069.0"/>
        <n v="9070.0"/>
        <n v="9068.0"/>
        <n v="10186.0"/>
        <n v="9061.0"/>
        <n v="10182.0"/>
        <n v="10196.0"/>
        <n v="10197.0"/>
        <n v="10198.0"/>
        <n v="10202.0"/>
        <n v="10203.0"/>
        <n v="10204.0"/>
        <n v="10180.0"/>
        <n v="10181.0"/>
        <n v="10201.0"/>
        <n v="10638.0"/>
        <n v="10639.0"/>
        <n v="10640.0"/>
        <n v="10641.0"/>
        <n v="10642.0"/>
        <n v="10643.0"/>
        <n v="10644.0"/>
        <n v="10645.0"/>
        <n v="10646.0"/>
        <n v="10647.0"/>
        <n v="10648.0"/>
        <n v="10649.0"/>
        <n v="10650.0"/>
        <n v="10651.0"/>
        <n v="10653.0"/>
        <n v="10654.0"/>
        <n v="10655.0"/>
        <m/>
      </sharedItems>
    </cacheField>
    <cacheField name="CONCATENADO" numFmtId="0">
      <sharedItems containsBlank="1">
        <s v="10517-GSB-N/A"/>
        <s v="10518-GSB-N/A"/>
        <s v="10519-GSB-N/A"/>
        <s v="10521-GSB-N/A"/>
        <s v="10522-GSB-N/A"/>
        <s v="10523-GSB-N/A"/>
        <s v="10524-GSB-N/A"/>
        <s v="10525-GSB-N/A"/>
        <s v="10526-GSB-N/A"/>
        <s v="10527-GSB-N/A"/>
        <s v="10528-GSB-N/A"/>
        <s v="10529-GSB-N/A"/>
        <s v="10530-GSB-N/A"/>
        <s v="10531-GSB-N/A"/>
        <s v="10532-GSB-N/A"/>
        <s v="10533-GSB-N/A"/>
        <s v="10534-GSB-N/A"/>
        <s v="10535-GSB-N/A"/>
        <s v="10536-GSB-N/A"/>
        <s v="10537-GSB-N/A"/>
        <s v="10538-GSB-N/A"/>
        <s v="10539-GSB-N/A"/>
        <s v="10540-GSB-N/A"/>
        <s v="10541-GSB-N/A"/>
        <s v="10542-GSB-N/A"/>
        <s v="10543-GSB-N/A"/>
        <s v="10544-GSB-N/A"/>
        <s v="10545-GSB-N/A"/>
        <s v="10333-GSB-SDS-1043596"/>
        <s v="10314-GSB-SDS-1040392"/>
        <s v="10303-GSB-SDS-1043575"/>
        <s v="10337-GSB-SDS-1043621"/>
        <s v="10326-GSB-SDS-1043636"/>
        <s v="10321-GSB-SDS-1043618"/>
        <s v="10320-GSB-SDS-1043617"/>
        <s v="10318-GSB-SDS-1040387"/>
        <s v="10317-GSB-SDS-1040406"/>
        <s v="10316-GSB-SDS-1043595"/>
        <s v="10350-GSB-SDS-1043580"/>
        <s v="10346-GSB-SDS-1043584"/>
        <s v="10345-GSB-SDS-1043622"/>
        <s v="10348-GSB-SDS-1043599"/>
        <s v="10344-GSB-SDS-1043600"/>
        <s v="10343-GSB-SDS-1043623"/>
        <s v="10339-GSB-SDS-1043583"/>
        <s v="10325-GSB-SDS-1043572"/>
        <s v="10324-GSB-SDS-1043631"/>
        <s v="10327-GSB-SDS-1043640"/>
        <s v="10328-GSB-SDS-1043592"/>
        <s v="10323-GSB-SDS-1043576"/>
        <s v="10322-GSB-SDS-1043591"/>
        <s v="10476-GSB-SDS/1044588"/>
        <s v="10478-GSB-SDS/1044591"/>
        <s v="10479-GSB-N/A"/>
        <s v="10480-GSB-N/A"/>
        <s v="10481-GSB-N/A"/>
        <s v="10482-GSB-N/A"/>
        <s v="10483-GSB-N/A"/>
        <s v="10315-GSB-SDS-1040405"/>
        <s v="6817-GSB-N/A"/>
        <s v="6839-GSB-N/A"/>
        <s v="10185-GSB-N/A"/>
        <s v="5575-GSB-SDS - 1032926"/>
        <s v="5777-GSB-SDS - 1037100"/>
        <s v="5121-GSB-SDS - 1032361"/>
        <s v="4875-GSB-SDS - 1032359"/>
        <s v="5573-GSB-SDS - 1032938"/>
        <s v="5110-GSB-SDS - 1032391"/>
        <s v="4874-GSB-092256847517520243"/>
        <s v="4978-GSB-092256847591000839"/>
        <s v="5604-GSB-SDS/1032985"/>
        <s v="10566-GSB-N/A"/>
        <s v="10567-GSB-N/A"/>
        <s v="10568-GSB-N/A"/>
        <s v="10569-GSB-N/A"/>
        <s v="10570-GSB-N/A"/>
        <s v="10571-GSB-N/A"/>
        <s v="10572-GSB-N/A"/>
        <s v="10573-GSB-N/A"/>
        <s v="10574-GSB-N/A"/>
        <s v="10575-GSB-N/A"/>
        <s v="10576-GSB-N/A"/>
        <s v="10577-GSB-N/A"/>
        <s v="10578-GSB-N/A"/>
        <s v="10579-GSB-N/A"/>
        <s v="10580-GSB-N/A"/>
        <s v="10581-GSB-N/A"/>
        <s v="10582-GSB-N/A"/>
        <s v="10583-GSB-N/A"/>
        <s v="10584-GSB-N/A"/>
        <s v="10585-GSB-N/A"/>
        <s v="10586-GSB-N/A"/>
        <s v="10587-GSB-N/A"/>
        <s v="10588-GSB-N/A"/>
        <s v="10589-GSB-N/A"/>
        <s v="10590-GSB-N/A"/>
        <s v="10591-GSB-N/A"/>
        <s v="10592-GSB-N/A"/>
        <s v="10593-GSB-N/A"/>
        <s v="10594-GSB-N/A"/>
        <s v="10595-GSB-N/A"/>
        <s v="10596-GSB-N/A"/>
        <s v="10597-GSB-N/A"/>
        <s v="10598-GSB-N/A"/>
        <s v="10599-GSB-N/A"/>
        <s v="10600-GSB-N/A"/>
        <s v="10601-GSB-N/A"/>
        <s v="10602-GSB-N/A"/>
        <s v="10603-GSB-N/A"/>
        <s v="10604-GSB-N/A"/>
        <s v="10605-GSB-N/A"/>
        <s v="10606-GSB-N/A"/>
        <s v="10607-GSB-N/A"/>
        <s v="10608-GSB-N/A"/>
        <s v="10609-GSB-N/A"/>
        <s v="10610-GSB-N/A"/>
        <s v="10611-GSB-N/A"/>
        <s v="10612-GSB-N/A"/>
        <s v="10613-GSB-N/A"/>
        <s v="10614-GSB-N/A"/>
        <s v="10615-GSB-N/A"/>
        <s v="10616-GSB-N/A"/>
        <s v="10617-GSB-N/A"/>
        <s v="10618-GSB-N/A"/>
        <s v="10619-GSB-N/A"/>
        <s v="10620-GSB-N/A"/>
        <s v="10621-GSB-N/A"/>
        <s v="10622-GSB-N/A"/>
        <s v="10623-GSB-N/A"/>
        <s v="10624-GSB-N/A"/>
        <s v="10625-GSB-N/A"/>
        <s v="10626-GSB-N/A"/>
        <s v="10627-GSB-N/A"/>
        <s v="10628-GSB-N/A"/>
        <s v="10629-GSB-N/A"/>
        <s v="10630-GSB-N/A"/>
        <s v="10631-GSB-N/A"/>
        <s v="10632-GSB-N/A"/>
        <s v="10633-GSB-N/A"/>
        <s v="10634-GSB-N/A"/>
        <s v="10637-GSB-N/A"/>
        <s v="N/A-GSB-N/A"/>
        <s v="10436-GSB-SDS/1026441"/>
        <s v="10437-GSB-SDS/1026426"/>
        <s v="10458-GSB-SDS/1044554"/>
        <s v="9074-GSB-SDS - 1026106"/>
        <s v="9073-GSB-SDS - 1028253"/>
        <s v="1657-GSB-N/A"/>
        <s v="1658-GSB-N/A"/>
        <s v="10233-GSB-N/A"/>
        <s v="10239-GSB-N/A"/>
        <s v="10240-GSB-N/A"/>
        <s v="10241-GSB-N/A"/>
        <s v="10242-GSB-N/A"/>
        <s v="10243-GSB-N/A"/>
        <s v="10244-GSB-N/A"/>
        <s v="10546-GSB-N/A"/>
        <s v="10547-GSB-N/A"/>
        <s v="10548-GSB-N/A"/>
        <s v="10549-GSB-N/A"/>
        <s v="10550-GSB-N/A"/>
        <s v="10551-GSB-N/A"/>
        <s v="10552-GSB-N/A"/>
        <s v="10553-GSB-N/A"/>
        <s v="10554-GSB-N/A"/>
        <s v="10555-GSB-N/A"/>
        <s v="7434-GSB-N/A"/>
        <s v="7491-GSB-N/A"/>
        <s v="7505-GSB-N/A"/>
        <s v="7438-GSB-N/A"/>
        <s v="7423-GSB-N/A"/>
        <s v="10502-GSB-N/A"/>
        <s v="10503-GSB-N/A"/>
        <s v="10504-GSB-N/A"/>
        <s v="10505-GSB-N/A"/>
        <s v="10506-GSB-N/A"/>
        <s v="10507-GSB-N/A"/>
        <s v="5927-GSB-N/A"/>
        <s v="5399-GSB-N/A"/>
        <s v="5394-GSB-SDS/1033014"/>
        <s v="9066-GSB-N/A"/>
        <s v="9067-GSB-N/A"/>
        <s v="10099-GSB-N/A"/>
        <s v="10100-GSB-N/A"/>
        <s v="10101-GSB-N/A"/>
        <s v="10104-GSB-N/A"/>
        <s v="10110-GSB-N/A"/>
        <s v="10417-GSB-N/A"/>
        <s v="10418-GSB-N/A"/>
        <s v="10421-GSB-N/A"/>
        <s v="10424-GSB-N/A"/>
        <s v="10425-GSB-N/A"/>
        <s v="10426-GSB-N/A"/>
        <s v="10556-GSB-N/A"/>
        <s v="10557-GSB-N/A"/>
        <s v="10558-GSB-N/A"/>
        <s v="10559-GSB-N/A"/>
        <s v="10560-GSB-N/A"/>
        <s v="10561-GSB-N/A"/>
        <s v="10562-GSB-N/A"/>
        <s v="10563-GSB-N/A"/>
        <s v="10162-GSB-N/A"/>
        <s v="1765-GSB-N/A"/>
        <s v="10227-GSB-SDS/1043222"/>
        <s v="10461-GSB-SDS/1044532"/>
        <s v="10462-GSB-SDS/1044545"/>
        <s v="10463-GSB-SDS/1044546"/>
        <s v="10464-GSB-SDS/1044548"/>
        <s v="10465-GSB-SDS/1044534"/>
        <s v="10466-GSB-SDS/1044540"/>
        <s v="10467-GSB-SDS/1044542"/>
        <s v="10468-GSB-SDS/1044539"/>
        <s v="10469-GSB-SDS/1044538"/>
        <s v="10470-GSB-SDS/1044536"/>
        <s v="10471-GSB-SDS/1044537"/>
        <s v="10472-GSB-SDS/1044533"/>
        <s v="10473-GSB-SDS/1044543"/>
        <s v="10474-GSB-SDS1044544"/>
        <s v="10475-GSB-SDS/1044541"/>
        <s v="10213-GSB-042164263916100024"/>
        <s v="10224-GSB-N/A"/>
        <s v="10497-GSB-042207947828030060"/>
        <s v="1360-GSB-N/A"/>
        <s v="10161-GSB-N/A"/>
        <s v="5319-GSB-N/A"/>
        <s v="10371-GSB-N/A"/>
        <s v="10372-GSB-N/A"/>
        <s v="10373-GSB-N/A"/>
        <s v="10374-GSB-N/A"/>
        <s v="10456-GSB-SDS / 1044555"/>
        <s v="10457-GSB-SDS / 1044552"/>
        <s v="1043-GSB-N/A"/>
        <s v="9079-GSB-N/A"/>
        <s v="1042-GSB-N/A"/>
        <s v="10113-GSB-N/A"/>
        <s v="10114-GSB-N/A"/>
        <s v="9063-GSB-N/A"/>
        <s v="10455-GSB-SDS/1044549"/>
        <s v="8515-GSB-N/A"/>
        <s v="8497-GSB-N/A"/>
        <s v="4306-GSB-N/A"/>
        <s v="2289-GSB-N/A"/>
        <s v="2285-GSB-N/A"/>
        <s v="4086-GSB-N/A"/>
        <s v="10163-GSB-N/A"/>
        <s v="10284-GSB-SDS/1043556"/>
        <s v="10276-GSB-SDS/1043554"/>
        <s v="10281-GSB-SDS/1043524"/>
        <s v="10286-GSB-SDS/1043537"/>
        <s v="10484-GSB-N/A"/>
        <s v="10485-GSB-N/A"/>
        <s v="10486-GSB-N/A"/>
        <s v="10487-GSB-N/A"/>
        <s v="10490-GSB-N/A"/>
        <s v="10491-GSB-N/A"/>
        <s v="10292-GSB-SDS/1043566"/>
        <s v="9069-GSB-SDS1017299"/>
        <s v="9070-GSB-N/A"/>
        <s v="9068-GSB-SDS1024388"/>
        <s v="10186-GSB-N/A"/>
        <s v="9061-GSB-N/A"/>
        <s v="10182-GSB-N/A"/>
        <s v="10196-GSB-SDS1043184"/>
        <s v="10197-GSB-SDS1043192"/>
        <s v="10198-GSB-SDS1043197"/>
        <s v="10202-GSB-SDS1043196"/>
        <s v="10203-GSB-SDS1043191"/>
        <s v="10204-GSB-SDS1043198"/>
        <s v="10180-GSB-"/>
        <s v="10181-GSB-"/>
        <s v="10201-GSB-"/>
        <s v="10638-GSB-N/A"/>
        <s v="10639-GSB-N/A"/>
        <s v="10640-GSB-N/A"/>
        <s v="10641-GSB-N/A"/>
        <s v="10642-GSB-N/A"/>
        <s v="10643-GSB-N/A"/>
        <s v="10644-GSB-N/A"/>
        <s v="10645-GSB-N/A"/>
        <s v="10646-GSB-N/A"/>
        <s v="10647-GSB-N/A"/>
        <s v="10648-GSB-N/A"/>
        <s v="10649-GSB-N/A"/>
        <s v="10650-GSB-N/A"/>
        <s v="10651-GSB-N/A"/>
        <s v="10653-GSB-N/A"/>
        <s v="10654-GSB-N/A"/>
        <s v="10655-GSB-N/A"/>
        <m/>
      </sharedItems>
    </cacheField>
    <cacheField name="OFICINA " numFmtId="0">
      <sharedItems containsString="0" containsBlank="1">
        <m/>
      </sharedItems>
    </cacheField>
    <cacheField name="TECNICO" numFmtId="0">
      <sharedItems containsString="0" containsBlank="1">
        <m/>
      </sharedItems>
    </cacheField>
    <cacheField name="FECHA DE DESPACHO" numFmtId="0">
      <sharedItems containsString="0" containsBlank="1"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CANTIDAD TOTAL" cacheId="0" dataCaption="" rowGrandTotals="0" compact="0" compactData="0">
  <location ref="A1:B33" firstHeaderRow="0" firstDataRow="1" firstDataCol="0"/>
  <pivotFields>
    <pivotField name="FECHA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name="FACTURA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name="CODIGO DE &#10;BARRA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name="DESCRIPCIÓN" axis="axisRow" compact="0" outline="0" multipleItemSelectionAllowed="1" showAll="0" sortType="ascending">
      <items>
        <item x="31"/>
        <item x="1"/>
        <item x="2"/>
        <item x="3"/>
        <item x="0"/>
        <item x="4"/>
        <item x="5"/>
        <item x="6"/>
        <item x="7"/>
        <item x="9"/>
        <item x="8"/>
        <item x="10"/>
        <item x="12"/>
        <item x="11"/>
        <item x="13"/>
        <item x="14"/>
        <item x="15"/>
        <item x="16"/>
        <item x="17"/>
        <item x="19"/>
        <item x="18"/>
        <item x="20"/>
        <item x="21"/>
        <item x="23"/>
        <item x="22"/>
        <item x="24"/>
        <item x="25"/>
        <item x="26"/>
        <item x="27"/>
        <item x="28"/>
        <item x="29"/>
        <item x="30"/>
        <item t="default"/>
      </items>
    </pivotField>
    <pivotField name="CANTIDAD " dataField="1" compact="0" outline="0" multipleItemSelectionAllowed="1" showAll="0">
      <items>
        <item x="0"/>
        <item x="1"/>
        <item t="default"/>
      </items>
    </pivotField>
    <pivotField name="No SDS 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t="default"/>
      </items>
    </pivotField>
    <pivotField name="ID. EQUIP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SERIALES GSB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t="default"/>
      </items>
    </pivotField>
    <pivotField name="CONCATENAD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t="default"/>
      </items>
    </pivotField>
    <pivotField name="OFICINA " compact="0" outline="0" multipleItemSelectionAllowed="1" showAll="0">
      <items>
        <item x="0"/>
        <item t="default"/>
      </items>
    </pivotField>
    <pivotField name="TECNICO" compact="0" outline="0" multipleItemSelectionAllowed="1" showAll="0">
      <items>
        <item x="0"/>
        <item t="default"/>
      </items>
    </pivotField>
    <pivotField name="FECHA DE DESPACHO" compact="0" outline="0" multipleItemSelectionAllowed="1" showAll="0">
      <items>
        <item x="0"/>
        <item t="default"/>
      </items>
    </pivotField>
  </pivotFields>
  <rowFields>
    <field x="3"/>
  </rowFields>
  <dataFields>
    <dataField name="CANTIDAD TOTAL" fld="4" baseField="0"/>
  </dataFields>
</pivotTableDefinition>
</file>

<file path=xl/tables/table1.xml><?xml version="1.0" encoding="utf-8"?>
<table xmlns="http://schemas.openxmlformats.org/spreadsheetml/2006/main" headerRowCount="0" ref="A1:O12" displayName="Table_1" name="Table_1" id="1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GUSTAVO RAMIREZ-style" showColumnStripes="0" showFirstColumn="1" showLastColumn="1" showRowStripes="1"/>
</table>
</file>

<file path=xl/tables/table2.xml><?xml version="1.0" encoding="utf-8"?>
<table xmlns="http://schemas.openxmlformats.org/spreadsheetml/2006/main" headerRowCount="0" ref="A1:O12" displayName="Table_2" name="Table_2" id="2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LUCAS RICO-style" showColumnStripes="0" showFirstColumn="1" showLastColumn="1" showRowStripes="1"/>
</table>
</file>

<file path=xl/tables/table3.xml><?xml version="1.0" encoding="utf-8"?>
<table xmlns="http://schemas.openxmlformats.org/spreadsheetml/2006/main" headerRowCount="0" ref="A1:O12" displayName="Table_3" name="Table_3" id="3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LUIS ANGULO-style" showColumnStripes="0" showFirstColumn="1" showLastColumn="1" showRowStripes="1"/>
</table>
</file>

<file path=xl/tables/table4.xml><?xml version="1.0" encoding="utf-8"?>
<table xmlns="http://schemas.openxmlformats.org/spreadsheetml/2006/main" headerRowCount="0" ref="A1:O16" displayName="Table_4" name="Table_4" id="4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HECTOR JAVIER CORTES -style" showColumnStripes="0" showFirstColumn="1" showLastColumn="1" showRowStripes="1"/>
</table>
</file>

<file path=xl/tables/table5.xml><?xml version="1.0" encoding="utf-8"?>
<table xmlns="http://schemas.openxmlformats.org/spreadsheetml/2006/main" headerRowCount="0" ref="D19:G28" displayName="Table_5" name="Table_5" id="5">
  <tableColumns count="4">
    <tableColumn name="Column1" id="1"/>
    <tableColumn name="Column2" id="2"/>
    <tableColumn name="Column3" id="3"/>
    <tableColumn name="Column4" id="4"/>
  </tableColumns>
  <tableStyleInfo name="HECTOR JAVIER CORTES -style 2" showColumnStripes="0" showFirstColumn="1" showLastColumn="1" showRowStripes="1"/>
</table>
</file>

<file path=xl/tables/table6.xml><?xml version="1.0" encoding="utf-8"?>
<table xmlns="http://schemas.openxmlformats.org/spreadsheetml/2006/main" headerRowCount="0" ref="A1:O19" displayName="Table_6" name="Table_6" id="6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WILLIAM RUIZ-style" showColumnStripes="0" showFirstColumn="1" showLastColumn="1" showRowStripes="1"/>
</table>
</file>

<file path=xl/tables/table7.xml><?xml version="1.0" encoding="utf-8"?>
<table xmlns="http://schemas.openxmlformats.org/spreadsheetml/2006/main" headerRowCount="0" ref="A1:O17" displayName="Table_7" name="Table_7" id="7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NELSON VARGAS 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1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2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3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4" Type="http://schemas.openxmlformats.org/officeDocument/2006/relationships/table" Target="../tables/table4.xml"/><Relationship Id="rId5" Type="http://schemas.openxmlformats.org/officeDocument/2006/relationships/table" Target="../tables/table5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6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7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0"/>
    <col customWidth="1" min="2" max="2" width="14.88"/>
    <col customWidth="1" min="3" max="3" width="12.88"/>
    <col customWidth="1" min="4" max="4" width="51.75"/>
    <col customWidth="1" min="5" max="5" width="12.5"/>
    <col customWidth="1" min="6" max="7" width="21.63"/>
    <col customWidth="1" min="8" max="8" width="15.75"/>
    <col customWidth="1" min="9" max="9" width="36.63"/>
    <col customWidth="1" min="10" max="10" width="29.25"/>
    <col customWidth="1" min="11" max="11" width="21.75"/>
    <col customWidth="1" min="12" max="16" width="27.5"/>
  </cols>
  <sheetData>
    <row r="1">
      <c r="A1" s="1" t="s">
        <v>13</v>
      </c>
      <c r="B1" s="1" t="s">
        <v>7</v>
      </c>
      <c r="C1" s="7" t="s">
        <v>12</v>
      </c>
      <c r="D1" s="1" t="s">
        <v>0</v>
      </c>
      <c r="E1" s="1" t="s">
        <v>1</v>
      </c>
      <c r="F1" s="1" t="s">
        <v>15</v>
      </c>
      <c r="G1" s="16" t="s">
        <v>16</v>
      </c>
      <c r="H1" s="16" t="s">
        <v>19</v>
      </c>
      <c r="I1" s="1" t="s">
        <v>20</v>
      </c>
      <c r="J1" s="1" t="s">
        <v>22</v>
      </c>
      <c r="K1" s="1" t="s">
        <v>23</v>
      </c>
      <c r="L1" s="1" t="s">
        <v>24</v>
      </c>
      <c r="M1" s="15"/>
      <c r="N1" s="15"/>
      <c r="O1" s="15"/>
      <c r="P1" s="15"/>
    </row>
    <row r="2">
      <c r="A2" s="22">
        <v>46275.0</v>
      </c>
      <c r="B2" s="2" t="s">
        <v>34</v>
      </c>
      <c r="C2" s="2" t="s">
        <v>35</v>
      </c>
      <c r="D2" s="2" t="s">
        <v>31</v>
      </c>
      <c r="E2" s="24">
        <v>1.0</v>
      </c>
      <c r="F2" s="26" t="s">
        <v>38</v>
      </c>
      <c r="G2" s="24" t="s">
        <v>35</v>
      </c>
      <c r="H2" s="2">
        <v>10517.0</v>
      </c>
      <c r="I2" s="29" t="str">
        <f t="shared" ref="I2:I29" si="1">CONCATENATE(H2,"-","GSB","-",G2)</f>
        <v>10517-GSB-N/A</v>
      </c>
      <c r="J2" s="32"/>
      <c r="K2" s="24"/>
      <c r="L2" s="24"/>
      <c r="M2" s="33"/>
      <c r="N2" s="33"/>
      <c r="O2" s="33"/>
      <c r="P2" s="33"/>
    </row>
    <row r="3">
      <c r="A3" s="22">
        <v>46275.0</v>
      </c>
      <c r="B3" s="2" t="s">
        <v>34</v>
      </c>
      <c r="C3" s="2" t="s">
        <v>35</v>
      </c>
      <c r="D3" s="2" t="s">
        <v>31</v>
      </c>
      <c r="E3" s="24">
        <v>1.0</v>
      </c>
      <c r="F3" s="26" t="s">
        <v>62</v>
      </c>
      <c r="G3" s="24" t="s">
        <v>35</v>
      </c>
      <c r="H3" s="2">
        <v>10518.0</v>
      </c>
      <c r="I3" s="29" t="str">
        <f t="shared" si="1"/>
        <v>10518-GSB-N/A</v>
      </c>
      <c r="J3" s="32"/>
      <c r="K3" s="24"/>
      <c r="L3" s="24"/>
      <c r="M3" s="33"/>
      <c r="N3" s="33"/>
      <c r="O3" s="33"/>
      <c r="P3" s="33"/>
    </row>
    <row r="4">
      <c r="A4" s="22">
        <v>46275.0</v>
      </c>
      <c r="B4" s="2" t="s">
        <v>34</v>
      </c>
      <c r="C4" s="2" t="s">
        <v>35</v>
      </c>
      <c r="D4" s="2" t="s">
        <v>31</v>
      </c>
      <c r="E4" s="24">
        <v>1.0</v>
      </c>
      <c r="F4" s="26" t="s">
        <v>69</v>
      </c>
      <c r="G4" s="24" t="s">
        <v>35</v>
      </c>
      <c r="H4" s="2">
        <v>10519.0</v>
      </c>
      <c r="I4" s="29" t="str">
        <f t="shared" si="1"/>
        <v>10519-GSB-N/A</v>
      </c>
      <c r="J4" s="32"/>
      <c r="K4" s="24"/>
      <c r="L4" s="24"/>
      <c r="M4" s="33"/>
      <c r="N4" s="33"/>
      <c r="O4" s="33"/>
      <c r="P4" s="33"/>
    </row>
    <row r="5">
      <c r="A5" s="22">
        <v>46275.0</v>
      </c>
      <c r="B5" s="2" t="s">
        <v>34</v>
      </c>
      <c r="C5" s="2" t="s">
        <v>35</v>
      </c>
      <c r="D5" s="2" t="s">
        <v>31</v>
      </c>
      <c r="E5" s="24">
        <v>1.0</v>
      </c>
      <c r="F5" s="40" t="s">
        <v>73</v>
      </c>
      <c r="G5" s="24" t="s">
        <v>35</v>
      </c>
      <c r="H5" s="2">
        <v>10521.0</v>
      </c>
      <c r="I5" s="29" t="str">
        <f t="shared" si="1"/>
        <v>10521-GSB-N/A</v>
      </c>
      <c r="J5" s="32"/>
      <c r="K5" s="24"/>
      <c r="L5" s="24"/>
      <c r="M5" s="33"/>
      <c r="N5" s="33"/>
      <c r="O5" s="33"/>
      <c r="P5" s="33"/>
    </row>
    <row r="6">
      <c r="A6" s="22">
        <v>46275.0</v>
      </c>
      <c r="B6" s="2" t="s">
        <v>34</v>
      </c>
      <c r="C6" s="2" t="s">
        <v>35</v>
      </c>
      <c r="D6" s="2" t="s">
        <v>31</v>
      </c>
      <c r="E6" s="24">
        <v>1.0</v>
      </c>
      <c r="F6" s="40" t="s">
        <v>76</v>
      </c>
      <c r="G6" s="24" t="s">
        <v>35</v>
      </c>
      <c r="H6" s="2">
        <v>10522.0</v>
      </c>
      <c r="I6" s="29" t="str">
        <f t="shared" si="1"/>
        <v>10522-GSB-N/A</v>
      </c>
      <c r="J6" s="32"/>
      <c r="K6" s="24"/>
      <c r="L6" s="24"/>
      <c r="M6" s="33"/>
      <c r="N6" s="33"/>
      <c r="O6" s="33"/>
      <c r="P6" s="33"/>
    </row>
    <row r="7">
      <c r="A7" s="22">
        <v>46275.0</v>
      </c>
      <c r="B7" s="2" t="s">
        <v>34</v>
      </c>
      <c r="C7" s="2" t="s">
        <v>35</v>
      </c>
      <c r="D7" s="2" t="s">
        <v>31</v>
      </c>
      <c r="E7" s="24">
        <v>1.0</v>
      </c>
      <c r="F7" s="40" t="s">
        <v>78</v>
      </c>
      <c r="G7" s="24" t="s">
        <v>35</v>
      </c>
      <c r="H7" s="2">
        <v>10523.0</v>
      </c>
      <c r="I7" s="29" t="str">
        <f t="shared" si="1"/>
        <v>10523-GSB-N/A</v>
      </c>
      <c r="J7" s="32"/>
      <c r="K7" s="24"/>
      <c r="L7" s="24"/>
      <c r="M7" s="33"/>
      <c r="N7" s="33"/>
      <c r="O7" s="33"/>
      <c r="P7" s="33"/>
    </row>
    <row r="8">
      <c r="A8" s="22">
        <v>46275.0</v>
      </c>
      <c r="B8" s="2" t="s">
        <v>34</v>
      </c>
      <c r="C8" s="2" t="s">
        <v>35</v>
      </c>
      <c r="D8" s="2" t="s">
        <v>31</v>
      </c>
      <c r="E8" s="24">
        <v>1.0</v>
      </c>
      <c r="F8" s="40" t="s">
        <v>80</v>
      </c>
      <c r="G8" s="24" t="s">
        <v>35</v>
      </c>
      <c r="H8" s="2">
        <v>10524.0</v>
      </c>
      <c r="I8" s="29" t="str">
        <f t="shared" si="1"/>
        <v>10524-GSB-N/A</v>
      </c>
      <c r="J8" s="32"/>
      <c r="K8" s="24"/>
      <c r="L8" s="24"/>
      <c r="M8" s="33"/>
      <c r="N8" s="33"/>
      <c r="O8" s="33"/>
      <c r="P8" s="33"/>
    </row>
    <row r="9">
      <c r="A9" s="22">
        <v>46275.0</v>
      </c>
      <c r="B9" s="2" t="s">
        <v>34</v>
      </c>
      <c r="C9" s="2" t="s">
        <v>35</v>
      </c>
      <c r="D9" s="2" t="s">
        <v>31</v>
      </c>
      <c r="E9" s="24">
        <v>1.0</v>
      </c>
      <c r="F9" s="40" t="s">
        <v>81</v>
      </c>
      <c r="G9" s="24" t="s">
        <v>35</v>
      </c>
      <c r="H9" s="2">
        <v>10525.0</v>
      </c>
      <c r="I9" s="29" t="str">
        <f t="shared" si="1"/>
        <v>10525-GSB-N/A</v>
      </c>
      <c r="J9" s="32"/>
      <c r="K9" s="24"/>
      <c r="L9" s="24"/>
      <c r="M9" s="33"/>
      <c r="N9" s="33"/>
      <c r="O9" s="33"/>
      <c r="P9" s="33"/>
    </row>
    <row r="10">
      <c r="A10" s="22">
        <v>46275.0</v>
      </c>
      <c r="B10" s="2" t="s">
        <v>34</v>
      </c>
      <c r="C10" s="2" t="s">
        <v>35</v>
      </c>
      <c r="D10" s="2" t="s">
        <v>31</v>
      </c>
      <c r="E10" s="24">
        <v>1.0</v>
      </c>
      <c r="F10" s="40" t="s">
        <v>83</v>
      </c>
      <c r="G10" s="24" t="s">
        <v>35</v>
      </c>
      <c r="H10" s="2">
        <v>10526.0</v>
      </c>
      <c r="I10" s="29" t="str">
        <f t="shared" si="1"/>
        <v>10526-GSB-N/A</v>
      </c>
      <c r="J10" s="32"/>
      <c r="K10" s="24"/>
      <c r="L10" s="24"/>
      <c r="M10" s="33"/>
      <c r="N10" s="33"/>
      <c r="O10" s="33"/>
      <c r="P10" s="33"/>
    </row>
    <row r="11">
      <c r="A11" s="22">
        <v>46275.0</v>
      </c>
      <c r="B11" s="2" t="s">
        <v>34</v>
      </c>
      <c r="C11" s="2" t="s">
        <v>35</v>
      </c>
      <c r="D11" s="2" t="s">
        <v>31</v>
      </c>
      <c r="E11" s="24">
        <v>1.0</v>
      </c>
      <c r="F11" s="40" t="s">
        <v>86</v>
      </c>
      <c r="G11" s="24" t="s">
        <v>35</v>
      </c>
      <c r="H11" s="2">
        <v>10527.0</v>
      </c>
      <c r="I11" s="29" t="str">
        <f t="shared" si="1"/>
        <v>10527-GSB-N/A</v>
      </c>
      <c r="J11" s="32"/>
      <c r="K11" s="24"/>
      <c r="L11" s="24"/>
      <c r="M11" s="33"/>
      <c r="N11" s="33"/>
      <c r="O11" s="33"/>
      <c r="P11" s="33"/>
    </row>
    <row r="12">
      <c r="A12" s="22">
        <v>46275.0</v>
      </c>
      <c r="B12" s="2" t="s">
        <v>34</v>
      </c>
      <c r="C12" s="2" t="s">
        <v>35</v>
      </c>
      <c r="D12" s="2" t="s">
        <v>31</v>
      </c>
      <c r="E12" s="24">
        <v>1.0</v>
      </c>
      <c r="F12" s="40" t="s">
        <v>88</v>
      </c>
      <c r="G12" s="24" t="s">
        <v>35</v>
      </c>
      <c r="H12" s="2">
        <v>10528.0</v>
      </c>
      <c r="I12" s="29" t="str">
        <f t="shared" si="1"/>
        <v>10528-GSB-N/A</v>
      </c>
      <c r="J12" s="32"/>
      <c r="K12" s="24"/>
      <c r="L12" s="24"/>
      <c r="M12" s="33"/>
      <c r="N12" s="33"/>
      <c r="O12" s="33"/>
      <c r="P12" s="33"/>
    </row>
    <row r="13">
      <c r="A13" s="22">
        <v>46275.0</v>
      </c>
      <c r="B13" s="2" t="s">
        <v>34</v>
      </c>
      <c r="C13" s="2" t="s">
        <v>35</v>
      </c>
      <c r="D13" s="2" t="s">
        <v>31</v>
      </c>
      <c r="E13" s="24">
        <v>1.0</v>
      </c>
      <c r="F13" s="40" t="s">
        <v>90</v>
      </c>
      <c r="G13" s="24" t="s">
        <v>35</v>
      </c>
      <c r="H13" s="2">
        <v>10529.0</v>
      </c>
      <c r="I13" s="29" t="str">
        <f t="shared" si="1"/>
        <v>10529-GSB-N/A</v>
      </c>
      <c r="J13" s="32"/>
      <c r="K13" s="24"/>
      <c r="L13" s="24"/>
      <c r="M13" s="33"/>
      <c r="N13" s="33"/>
      <c r="O13" s="33"/>
      <c r="P13" s="33"/>
    </row>
    <row r="14">
      <c r="A14" s="22">
        <v>46275.0</v>
      </c>
      <c r="B14" s="2" t="s">
        <v>34</v>
      </c>
      <c r="C14" s="2" t="s">
        <v>35</v>
      </c>
      <c r="D14" s="2" t="s">
        <v>31</v>
      </c>
      <c r="E14" s="24">
        <v>1.0</v>
      </c>
      <c r="F14" s="40" t="s">
        <v>92</v>
      </c>
      <c r="G14" s="24" t="s">
        <v>35</v>
      </c>
      <c r="H14" s="2">
        <v>10530.0</v>
      </c>
      <c r="I14" s="29" t="str">
        <f t="shared" si="1"/>
        <v>10530-GSB-N/A</v>
      </c>
      <c r="J14" s="32"/>
      <c r="K14" s="24"/>
      <c r="L14" s="24"/>
      <c r="M14" s="33"/>
      <c r="N14" s="33"/>
      <c r="O14" s="33"/>
      <c r="P14" s="33"/>
    </row>
    <row r="15">
      <c r="A15" s="22">
        <v>46275.0</v>
      </c>
      <c r="B15" s="2" t="s">
        <v>34</v>
      </c>
      <c r="C15" s="2" t="s">
        <v>35</v>
      </c>
      <c r="D15" s="2" t="s">
        <v>31</v>
      </c>
      <c r="E15" s="24">
        <v>1.0</v>
      </c>
      <c r="F15" s="40" t="s">
        <v>98</v>
      </c>
      <c r="G15" s="24" t="s">
        <v>35</v>
      </c>
      <c r="H15" s="2">
        <v>10531.0</v>
      </c>
      <c r="I15" s="29" t="str">
        <f t="shared" si="1"/>
        <v>10531-GSB-N/A</v>
      </c>
      <c r="J15" s="32"/>
      <c r="K15" s="24"/>
      <c r="L15" s="24"/>
      <c r="M15" s="33"/>
      <c r="N15" s="33"/>
      <c r="O15" s="33"/>
      <c r="P15" s="33"/>
    </row>
    <row r="16">
      <c r="A16" s="22">
        <v>46275.0</v>
      </c>
      <c r="B16" s="2" t="s">
        <v>34</v>
      </c>
      <c r="C16" s="2" t="s">
        <v>35</v>
      </c>
      <c r="D16" s="2" t="s">
        <v>31</v>
      </c>
      <c r="E16" s="24">
        <v>1.0</v>
      </c>
      <c r="F16" s="40" t="s">
        <v>101</v>
      </c>
      <c r="G16" s="24" t="s">
        <v>35</v>
      </c>
      <c r="H16" s="2">
        <v>10532.0</v>
      </c>
      <c r="I16" s="29" t="str">
        <f t="shared" si="1"/>
        <v>10532-GSB-N/A</v>
      </c>
      <c r="J16" s="32"/>
      <c r="K16" s="24"/>
      <c r="L16" s="24"/>
      <c r="M16" s="33"/>
      <c r="N16" s="33"/>
      <c r="O16" s="33"/>
      <c r="P16" s="33"/>
    </row>
    <row r="17">
      <c r="A17" s="22">
        <v>46275.0</v>
      </c>
      <c r="B17" s="2" t="s">
        <v>34</v>
      </c>
      <c r="C17" s="2" t="s">
        <v>35</v>
      </c>
      <c r="D17" s="2" t="s">
        <v>31</v>
      </c>
      <c r="E17" s="24">
        <v>1.0</v>
      </c>
      <c r="F17" s="40" t="s">
        <v>105</v>
      </c>
      <c r="G17" s="24" t="s">
        <v>35</v>
      </c>
      <c r="H17" s="2">
        <v>10533.0</v>
      </c>
      <c r="I17" s="29" t="str">
        <f t="shared" si="1"/>
        <v>10533-GSB-N/A</v>
      </c>
      <c r="J17" s="32"/>
      <c r="K17" s="24"/>
      <c r="L17" s="24"/>
      <c r="M17" s="33"/>
      <c r="N17" s="33"/>
      <c r="O17" s="33"/>
      <c r="P17" s="33"/>
    </row>
    <row r="18">
      <c r="A18" s="22">
        <v>46275.0</v>
      </c>
      <c r="B18" s="2" t="s">
        <v>34</v>
      </c>
      <c r="C18" s="2" t="s">
        <v>35</v>
      </c>
      <c r="D18" s="2" t="s">
        <v>31</v>
      </c>
      <c r="E18" s="24">
        <v>1.0</v>
      </c>
      <c r="F18" s="40" t="s">
        <v>109</v>
      </c>
      <c r="G18" s="24" t="s">
        <v>35</v>
      </c>
      <c r="H18" s="2">
        <v>10534.0</v>
      </c>
      <c r="I18" s="29" t="str">
        <f t="shared" si="1"/>
        <v>10534-GSB-N/A</v>
      </c>
      <c r="J18" s="32"/>
      <c r="K18" s="24"/>
      <c r="L18" s="24"/>
      <c r="M18" s="33"/>
      <c r="N18" s="33"/>
      <c r="O18" s="33"/>
      <c r="P18" s="33"/>
    </row>
    <row r="19">
      <c r="A19" s="22">
        <v>46275.0</v>
      </c>
      <c r="B19" s="2" t="s">
        <v>34</v>
      </c>
      <c r="C19" s="2" t="s">
        <v>35</v>
      </c>
      <c r="D19" s="2" t="s">
        <v>31</v>
      </c>
      <c r="E19" s="24">
        <v>1.0</v>
      </c>
      <c r="F19" s="40" t="s">
        <v>114</v>
      </c>
      <c r="G19" s="24" t="s">
        <v>35</v>
      </c>
      <c r="H19" s="2">
        <v>10535.0</v>
      </c>
      <c r="I19" s="29" t="str">
        <f t="shared" si="1"/>
        <v>10535-GSB-N/A</v>
      </c>
      <c r="J19" s="32"/>
      <c r="K19" s="24"/>
      <c r="L19" s="24"/>
      <c r="M19" s="33"/>
      <c r="N19" s="33"/>
      <c r="O19" s="33"/>
      <c r="P19" s="33"/>
    </row>
    <row r="20">
      <c r="A20" s="22">
        <v>46275.0</v>
      </c>
      <c r="B20" s="2" t="s">
        <v>34</v>
      </c>
      <c r="C20" s="2" t="s">
        <v>35</v>
      </c>
      <c r="D20" s="2" t="s">
        <v>31</v>
      </c>
      <c r="E20" s="24">
        <v>1.0</v>
      </c>
      <c r="F20" s="40" t="s">
        <v>118</v>
      </c>
      <c r="G20" s="24" t="s">
        <v>35</v>
      </c>
      <c r="H20" s="2">
        <v>10536.0</v>
      </c>
      <c r="I20" s="29" t="str">
        <f t="shared" si="1"/>
        <v>10536-GSB-N/A</v>
      </c>
      <c r="J20" s="32"/>
      <c r="K20" s="24"/>
      <c r="L20" s="24"/>
      <c r="M20" s="33"/>
      <c r="N20" s="33"/>
      <c r="O20" s="33"/>
      <c r="P20" s="33"/>
    </row>
    <row r="21">
      <c r="A21" s="22">
        <v>46275.0</v>
      </c>
      <c r="B21" s="2" t="s">
        <v>34</v>
      </c>
      <c r="C21" s="2" t="s">
        <v>35</v>
      </c>
      <c r="D21" s="2" t="s">
        <v>31</v>
      </c>
      <c r="E21" s="24">
        <v>1.0</v>
      </c>
      <c r="F21" s="40" t="s">
        <v>121</v>
      </c>
      <c r="G21" s="24" t="s">
        <v>35</v>
      </c>
      <c r="H21" s="2">
        <v>10537.0</v>
      </c>
      <c r="I21" s="29" t="str">
        <f t="shared" si="1"/>
        <v>10537-GSB-N/A</v>
      </c>
      <c r="J21" s="32"/>
      <c r="K21" s="24"/>
      <c r="L21" s="24"/>
      <c r="M21" s="33"/>
      <c r="N21" s="33"/>
      <c r="O21" s="33"/>
      <c r="P21" s="33"/>
    </row>
    <row r="22">
      <c r="A22" s="22">
        <v>46275.0</v>
      </c>
      <c r="B22" s="2" t="s">
        <v>34</v>
      </c>
      <c r="C22" s="2" t="s">
        <v>35</v>
      </c>
      <c r="D22" s="2" t="s">
        <v>31</v>
      </c>
      <c r="E22" s="24">
        <v>1.0</v>
      </c>
      <c r="F22" s="40" t="s">
        <v>124</v>
      </c>
      <c r="G22" s="24" t="s">
        <v>35</v>
      </c>
      <c r="H22" s="2">
        <v>10538.0</v>
      </c>
      <c r="I22" s="29" t="str">
        <f t="shared" si="1"/>
        <v>10538-GSB-N/A</v>
      </c>
      <c r="J22" s="32"/>
      <c r="K22" s="24"/>
      <c r="L22" s="24"/>
      <c r="M22" s="33"/>
      <c r="N22" s="33"/>
      <c r="O22" s="33"/>
      <c r="P22" s="33"/>
    </row>
    <row r="23">
      <c r="A23" s="22">
        <v>46275.0</v>
      </c>
      <c r="B23" s="2" t="s">
        <v>34</v>
      </c>
      <c r="C23" s="2" t="s">
        <v>35</v>
      </c>
      <c r="D23" s="2" t="s">
        <v>31</v>
      </c>
      <c r="E23" s="24">
        <v>1.0</v>
      </c>
      <c r="F23" s="40" t="s">
        <v>128</v>
      </c>
      <c r="G23" s="24" t="s">
        <v>35</v>
      </c>
      <c r="H23" s="2">
        <v>10539.0</v>
      </c>
      <c r="I23" s="29" t="str">
        <f t="shared" si="1"/>
        <v>10539-GSB-N/A</v>
      </c>
      <c r="J23" s="32"/>
      <c r="K23" s="24"/>
      <c r="L23" s="24"/>
      <c r="M23" s="33"/>
      <c r="N23" s="33"/>
      <c r="O23" s="33"/>
      <c r="P23" s="33"/>
    </row>
    <row r="24">
      <c r="A24" s="22">
        <v>46275.0</v>
      </c>
      <c r="B24" s="2" t="s">
        <v>34</v>
      </c>
      <c r="C24" s="2" t="s">
        <v>35</v>
      </c>
      <c r="D24" s="2" t="s">
        <v>31</v>
      </c>
      <c r="E24" s="24">
        <v>1.0</v>
      </c>
      <c r="F24" s="40" t="s">
        <v>132</v>
      </c>
      <c r="G24" s="24" t="s">
        <v>35</v>
      </c>
      <c r="H24" s="2">
        <v>10540.0</v>
      </c>
      <c r="I24" s="29" t="str">
        <f t="shared" si="1"/>
        <v>10540-GSB-N/A</v>
      </c>
      <c r="J24" s="32"/>
      <c r="K24" s="24"/>
      <c r="L24" s="24"/>
      <c r="M24" s="33"/>
      <c r="N24" s="33"/>
      <c r="O24" s="33"/>
      <c r="P24" s="33"/>
    </row>
    <row r="25">
      <c r="A25" s="22">
        <v>46275.0</v>
      </c>
      <c r="B25" s="2" t="s">
        <v>34</v>
      </c>
      <c r="C25" s="2" t="s">
        <v>35</v>
      </c>
      <c r="D25" s="2" t="s">
        <v>31</v>
      </c>
      <c r="E25" s="24">
        <v>1.0</v>
      </c>
      <c r="F25" s="40" t="s">
        <v>134</v>
      </c>
      <c r="G25" s="24" t="s">
        <v>35</v>
      </c>
      <c r="H25" s="2">
        <v>10541.0</v>
      </c>
      <c r="I25" s="29" t="str">
        <f t="shared" si="1"/>
        <v>10541-GSB-N/A</v>
      </c>
      <c r="J25" s="32"/>
      <c r="K25" s="24"/>
      <c r="L25" s="24"/>
      <c r="M25" s="33"/>
      <c r="N25" s="33"/>
      <c r="O25" s="33"/>
      <c r="P25" s="33"/>
    </row>
    <row r="26">
      <c r="A26" s="22">
        <v>46275.0</v>
      </c>
      <c r="B26" s="2" t="s">
        <v>34</v>
      </c>
      <c r="C26" s="2" t="s">
        <v>35</v>
      </c>
      <c r="D26" s="2" t="s">
        <v>31</v>
      </c>
      <c r="E26" s="24">
        <v>1.0</v>
      </c>
      <c r="F26" s="40" t="s">
        <v>137</v>
      </c>
      <c r="G26" s="24" t="s">
        <v>35</v>
      </c>
      <c r="H26" s="2">
        <v>10542.0</v>
      </c>
      <c r="I26" s="29" t="str">
        <f t="shared" si="1"/>
        <v>10542-GSB-N/A</v>
      </c>
      <c r="J26" s="32"/>
      <c r="K26" s="24"/>
      <c r="L26" s="24"/>
      <c r="M26" s="33"/>
      <c r="N26" s="33"/>
      <c r="O26" s="33"/>
      <c r="P26" s="33"/>
    </row>
    <row r="27">
      <c r="A27" s="22">
        <v>46275.0</v>
      </c>
      <c r="B27" s="2" t="s">
        <v>34</v>
      </c>
      <c r="C27" s="2" t="s">
        <v>35</v>
      </c>
      <c r="D27" s="2" t="s">
        <v>31</v>
      </c>
      <c r="E27" s="24">
        <v>1.0</v>
      </c>
      <c r="F27" s="40" t="s">
        <v>141</v>
      </c>
      <c r="G27" s="24" t="s">
        <v>35</v>
      </c>
      <c r="H27" s="2">
        <v>10543.0</v>
      </c>
      <c r="I27" s="29" t="str">
        <f t="shared" si="1"/>
        <v>10543-GSB-N/A</v>
      </c>
      <c r="J27" s="32"/>
      <c r="K27" s="24"/>
      <c r="L27" s="24"/>
      <c r="M27" s="33"/>
      <c r="N27" s="33"/>
      <c r="O27" s="33"/>
      <c r="P27" s="33"/>
    </row>
    <row r="28">
      <c r="A28" s="22">
        <v>46275.0</v>
      </c>
      <c r="B28" s="2" t="s">
        <v>34</v>
      </c>
      <c r="C28" s="2" t="s">
        <v>35</v>
      </c>
      <c r="D28" s="2" t="s">
        <v>31</v>
      </c>
      <c r="E28" s="24">
        <v>1.0</v>
      </c>
      <c r="F28" s="40" t="s">
        <v>149</v>
      </c>
      <c r="G28" s="24" t="s">
        <v>35</v>
      </c>
      <c r="H28" s="2">
        <v>10544.0</v>
      </c>
      <c r="I28" s="29" t="str">
        <f t="shared" si="1"/>
        <v>10544-GSB-N/A</v>
      </c>
      <c r="J28" s="32"/>
      <c r="K28" s="24"/>
      <c r="L28" s="24"/>
      <c r="M28" s="33"/>
      <c r="N28" s="33"/>
      <c r="O28" s="33"/>
      <c r="P28" s="33"/>
    </row>
    <row r="29">
      <c r="A29" s="22">
        <v>46275.0</v>
      </c>
      <c r="B29" s="2" t="s">
        <v>34</v>
      </c>
      <c r="C29" s="2" t="s">
        <v>35</v>
      </c>
      <c r="D29" s="2" t="s">
        <v>31</v>
      </c>
      <c r="E29" s="24">
        <v>1.0</v>
      </c>
      <c r="F29" s="40" t="s">
        <v>154</v>
      </c>
      <c r="G29" s="24" t="s">
        <v>35</v>
      </c>
      <c r="H29" s="2">
        <v>10545.0</v>
      </c>
      <c r="I29" s="29" t="str">
        <f t="shared" si="1"/>
        <v>10545-GSB-N/A</v>
      </c>
      <c r="J29" s="32"/>
      <c r="K29" s="24"/>
      <c r="L29" s="24"/>
      <c r="M29" s="33"/>
      <c r="N29" s="33"/>
      <c r="O29" s="33"/>
      <c r="P29" s="33"/>
    </row>
    <row r="30">
      <c r="A30" s="22">
        <v>46184.0</v>
      </c>
      <c r="B30" s="24">
        <v>59889.0</v>
      </c>
      <c r="C30" s="2">
        <v>4.998114565E9</v>
      </c>
      <c r="D30" s="2" t="s">
        <v>2</v>
      </c>
      <c r="E30" s="24">
        <v>1.0</v>
      </c>
      <c r="F30" s="24" t="s">
        <v>156</v>
      </c>
      <c r="G30" s="26" t="s">
        <v>35</v>
      </c>
      <c r="H30" s="2">
        <v>10333.0</v>
      </c>
      <c r="I30" s="29" t="str">
        <f t="shared" ref="I30:I54" si="2">CONCATENATE(H30,"-","GSB","-",F30)</f>
        <v>10333-GSB-SDS-1043596</v>
      </c>
      <c r="J30" s="32"/>
      <c r="K30" s="24"/>
      <c r="L30" s="24"/>
      <c r="M30" s="33"/>
      <c r="N30" s="33"/>
      <c r="O30" s="33"/>
      <c r="P30" s="33"/>
    </row>
    <row r="31">
      <c r="A31" s="22">
        <v>46184.0</v>
      </c>
      <c r="B31" s="24">
        <v>59889.0</v>
      </c>
      <c r="C31" s="2">
        <v>4.998114565E9</v>
      </c>
      <c r="D31" s="2" t="s">
        <v>2</v>
      </c>
      <c r="E31" s="24">
        <v>1.0</v>
      </c>
      <c r="F31" s="24" t="s">
        <v>160</v>
      </c>
      <c r="G31" s="26" t="s">
        <v>35</v>
      </c>
      <c r="H31" s="2">
        <v>10314.0</v>
      </c>
      <c r="I31" s="29" t="str">
        <f t="shared" si="2"/>
        <v>10314-GSB-SDS-1040392</v>
      </c>
      <c r="J31" s="32"/>
      <c r="K31" s="24"/>
      <c r="L31" s="24"/>
      <c r="M31" s="33"/>
      <c r="N31" s="33"/>
      <c r="O31" s="33"/>
      <c r="P31" s="33"/>
    </row>
    <row r="32">
      <c r="A32" s="22">
        <v>46184.0</v>
      </c>
      <c r="B32" s="24">
        <v>59889.0</v>
      </c>
      <c r="C32" s="2">
        <v>4.998114565E9</v>
      </c>
      <c r="D32" s="2" t="s">
        <v>2</v>
      </c>
      <c r="E32" s="24">
        <v>1.0</v>
      </c>
      <c r="F32" s="24" t="s">
        <v>162</v>
      </c>
      <c r="G32" s="26" t="s">
        <v>35</v>
      </c>
      <c r="H32" s="2">
        <v>10303.0</v>
      </c>
      <c r="I32" s="29" t="str">
        <f t="shared" si="2"/>
        <v>10303-GSB-SDS-1043575</v>
      </c>
      <c r="J32" s="32"/>
      <c r="K32" s="24"/>
      <c r="L32" s="24"/>
      <c r="M32" s="33"/>
      <c r="N32" s="33"/>
      <c r="O32" s="33"/>
      <c r="P32" s="33"/>
    </row>
    <row r="33">
      <c r="A33" s="22">
        <v>46184.0</v>
      </c>
      <c r="B33" s="24">
        <v>59889.0</v>
      </c>
      <c r="C33" s="2">
        <v>4.998114565E9</v>
      </c>
      <c r="D33" s="2" t="s">
        <v>2</v>
      </c>
      <c r="E33" s="24">
        <v>1.0</v>
      </c>
      <c r="F33" s="24" t="s">
        <v>164</v>
      </c>
      <c r="G33" s="26" t="s">
        <v>35</v>
      </c>
      <c r="H33" s="2">
        <v>10337.0</v>
      </c>
      <c r="I33" s="29" t="str">
        <f t="shared" si="2"/>
        <v>10337-GSB-SDS-1043621</v>
      </c>
      <c r="J33" s="32"/>
      <c r="K33" s="24"/>
      <c r="L33" s="24"/>
      <c r="M33" s="33"/>
      <c r="N33" s="33"/>
      <c r="O33" s="33"/>
      <c r="P33" s="33"/>
    </row>
    <row r="34">
      <c r="A34" s="22">
        <v>46184.0</v>
      </c>
      <c r="B34" s="24">
        <v>59889.0</v>
      </c>
      <c r="C34" s="2">
        <v>4.998114565E9</v>
      </c>
      <c r="D34" s="2" t="s">
        <v>2</v>
      </c>
      <c r="E34" s="24">
        <v>1.0</v>
      </c>
      <c r="F34" s="24" t="s">
        <v>166</v>
      </c>
      <c r="G34" s="26" t="s">
        <v>35</v>
      </c>
      <c r="H34" s="2">
        <v>10326.0</v>
      </c>
      <c r="I34" s="29" t="str">
        <f t="shared" si="2"/>
        <v>10326-GSB-SDS-1043636</v>
      </c>
      <c r="J34" s="32"/>
      <c r="K34" s="24"/>
      <c r="L34" s="24"/>
      <c r="M34" s="33"/>
      <c r="N34" s="33"/>
      <c r="O34" s="33"/>
      <c r="P34" s="33"/>
    </row>
    <row r="35">
      <c r="A35" s="22">
        <v>46184.0</v>
      </c>
      <c r="B35" s="24">
        <v>59889.0</v>
      </c>
      <c r="C35" s="2">
        <v>4.998114565E9</v>
      </c>
      <c r="D35" s="2" t="s">
        <v>2</v>
      </c>
      <c r="E35" s="24">
        <v>1.0</v>
      </c>
      <c r="F35" s="24" t="s">
        <v>170</v>
      </c>
      <c r="G35" s="26" t="s">
        <v>35</v>
      </c>
      <c r="H35" s="2">
        <v>10321.0</v>
      </c>
      <c r="I35" s="29" t="str">
        <f t="shared" si="2"/>
        <v>10321-GSB-SDS-1043618</v>
      </c>
      <c r="J35" s="32"/>
      <c r="K35" s="24"/>
      <c r="L35" s="24"/>
      <c r="M35" s="33"/>
      <c r="N35" s="33"/>
      <c r="O35" s="33"/>
      <c r="P35" s="33"/>
    </row>
    <row r="36">
      <c r="A36" s="22">
        <v>46184.0</v>
      </c>
      <c r="B36" s="24">
        <v>59889.0</v>
      </c>
      <c r="C36" s="2">
        <v>4.998114565E9</v>
      </c>
      <c r="D36" s="2" t="s">
        <v>2</v>
      </c>
      <c r="E36" s="24">
        <v>1.0</v>
      </c>
      <c r="F36" s="24" t="s">
        <v>173</v>
      </c>
      <c r="G36" s="26" t="s">
        <v>35</v>
      </c>
      <c r="H36" s="2">
        <v>10320.0</v>
      </c>
      <c r="I36" s="29" t="str">
        <f t="shared" si="2"/>
        <v>10320-GSB-SDS-1043617</v>
      </c>
      <c r="J36" s="32"/>
      <c r="K36" s="24"/>
      <c r="L36" s="24"/>
      <c r="M36" s="33"/>
      <c r="N36" s="33"/>
      <c r="O36" s="33"/>
      <c r="P36" s="33"/>
    </row>
    <row r="37">
      <c r="A37" s="22">
        <v>46184.0</v>
      </c>
      <c r="B37" s="24">
        <v>59889.0</v>
      </c>
      <c r="C37" s="2">
        <v>4.998114565E9</v>
      </c>
      <c r="D37" s="2" t="s">
        <v>2</v>
      </c>
      <c r="E37" s="24">
        <v>1.0</v>
      </c>
      <c r="F37" s="24" t="s">
        <v>176</v>
      </c>
      <c r="G37" s="26" t="s">
        <v>35</v>
      </c>
      <c r="H37" s="2">
        <v>10318.0</v>
      </c>
      <c r="I37" s="29" t="str">
        <f t="shared" si="2"/>
        <v>10318-GSB-SDS-1040387</v>
      </c>
      <c r="J37" s="32"/>
      <c r="K37" s="24"/>
      <c r="L37" s="24"/>
      <c r="M37" s="33"/>
      <c r="N37" s="33"/>
      <c r="O37" s="33"/>
      <c r="P37" s="33"/>
    </row>
    <row r="38">
      <c r="A38" s="22">
        <v>46184.0</v>
      </c>
      <c r="B38" s="24">
        <v>59889.0</v>
      </c>
      <c r="C38" s="2">
        <v>4.998114565E9</v>
      </c>
      <c r="D38" s="2" t="s">
        <v>2</v>
      </c>
      <c r="E38" s="24">
        <v>1.0</v>
      </c>
      <c r="F38" s="24" t="s">
        <v>178</v>
      </c>
      <c r="G38" s="26" t="s">
        <v>35</v>
      </c>
      <c r="H38" s="2">
        <v>10317.0</v>
      </c>
      <c r="I38" s="29" t="str">
        <f t="shared" si="2"/>
        <v>10317-GSB-SDS-1040406</v>
      </c>
      <c r="J38" s="32"/>
      <c r="K38" s="24"/>
      <c r="L38" s="24"/>
      <c r="M38" s="33"/>
      <c r="N38" s="33"/>
      <c r="O38" s="33"/>
      <c r="P38" s="33"/>
    </row>
    <row r="39">
      <c r="A39" s="22">
        <v>46184.0</v>
      </c>
      <c r="B39" s="24">
        <v>59889.0</v>
      </c>
      <c r="C39" s="2">
        <v>4.998114565E9</v>
      </c>
      <c r="D39" s="2" t="s">
        <v>2</v>
      </c>
      <c r="E39" s="24">
        <v>1.0</v>
      </c>
      <c r="F39" s="24" t="s">
        <v>180</v>
      </c>
      <c r="G39" s="26" t="s">
        <v>35</v>
      </c>
      <c r="H39" s="2">
        <v>10316.0</v>
      </c>
      <c r="I39" s="29" t="str">
        <f t="shared" si="2"/>
        <v>10316-GSB-SDS-1043595</v>
      </c>
      <c r="J39" s="32"/>
      <c r="K39" s="24"/>
      <c r="L39" s="24"/>
      <c r="M39" s="33"/>
      <c r="N39" s="33"/>
      <c r="O39" s="33"/>
      <c r="P39" s="33"/>
    </row>
    <row r="40">
      <c r="A40" s="22">
        <v>46184.0</v>
      </c>
      <c r="B40" s="24">
        <v>59889.0</v>
      </c>
      <c r="C40" s="2">
        <v>4.998114565E9</v>
      </c>
      <c r="D40" s="2" t="s">
        <v>2</v>
      </c>
      <c r="E40" s="24">
        <v>1.0</v>
      </c>
      <c r="F40" s="24" t="s">
        <v>182</v>
      </c>
      <c r="G40" s="26" t="s">
        <v>35</v>
      </c>
      <c r="H40" s="2">
        <v>10350.0</v>
      </c>
      <c r="I40" s="29" t="str">
        <f t="shared" si="2"/>
        <v>10350-GSB-SDS-1043580</v>
      </c>
      <c r="J40" s="32"/>
      <c r="K40" s="24"/>
      <c r="L40" s="24"/>
      <c r="M40" s="33"/>
      <c r="N40" s="33"/>
      <c r="O40" s="33"/>
      <c r="P40" s="33"/>
    </row>
    <row r="41">
      <c r="A41" s="22">
        <v>46184.0</v>
      </c>
      <c r="B41" s="24">
        <v>59889.0</v>
      </c>
      <c r="C41" s="2">
        <v>4.998114565E9</v>
      </c>
      <c r="D41" s="2" t="s">
        <v>2</v>
      </c>
      <c r="E41" s="24">
        <v>1.0</v>
      </c>
      <c r="F41" s="24" t="s">
        <v>184</v>
      </c>
      <c r="G41" s="26" t="s">
        <v>35</v>
      </c>
      <c r="H41" s="2">
        <v>10346.0</v>
      </c>
      <c r="I41" s="29" t="str">
        <f t="shared" si="2"/>
        <v>10346-GSB-SDS-1043584</v>
      </c>
      <c r="J41" s="32"/>
      <c r="K41" s="24"/>
      <c r="L41" s="24"/>
      <c r="M41" s="33"/>
      <c r="N41" s="33"/>
      <c r="O41" s="33"/>
      <c r="P41" s="33"/>
    </row>
    <row r="42">
      <c r="A42" s="22">
        <v>46184.0</v>
      </c>
      <c r="B42" s="24">
        <v>59889.0</v>
      </c>
      <c r="C42" s="2">
        <v>4.998114565E9</v>
      </c>
      <c r="D42" s="2" t="s">
        <v>2</v>
      </c>
      <c r="E42" s="24">
        <v>1.0</v>
      </c>
      <c r="F42" s="24" t="s">
        <v>187</v>
      </c>
      <c r="G42" s="26" t="s">
        <v>35</v>
      </c>
      <c r="H42" s="2">
        <v>10345.0</v>
      </c>
      <c r="I42" s="29" t="str">
        <f t="shared" si="2"/>
        <v>10345-GSB-SDS-1043622</v>
      </c>
      <c r="J42" s="32"/>
      <c r="K42" s="24"/>
      <c r="L42" s="24"/>
      <c r="M42" s="33"/>
      <c r="N42" s="33"/>
      <c r="O42" s="33"/>
      <c r="P42" s="33"/>
    </row>
    <row r="43">
      <c r="A43" s="22">
        <v>46184.0</v>
      </c>
      <c r="B43" s="24">
        <v>59889.0</v>
      </c>
      <c r="C43" s="2">
        <v>4.998114565E9</v>
      </c>
      <c r="D43" s="2" t="s">
        <v>2</v>
      </c>
      <c r="E43" s="24">
        <v>1.0</v>
      </c>
      <c r="F43" s="24" t="s">
        <v>191</v>
      </c>
      <c r="G43" s="26" t="s">
        <v>35</v>
      </c>
      <c r="H43" s="2">
        <v>10348.0</v>
      </c>
      <c r="I43" s="29" t="str">
        <f t="shared" si="2"/>
        <v>10348-GSB-SDS-1043599</v>
      </c>
      <c r="J43" s="32"/>
      <c r="K43" s="24"/>
      <c r="L43" s="24"/>
      <c r="M43" s="33"/>
      <c r="N43" s="33"/>
      <c r="O43" s="33"/>
      <c r="P43" s="33"/>
    </row>
    <row r="44">
      <c r="A44" s="22">
        <v>46184.0</v>
      </c>
      <c r="B44" s="24">
        <v>59889.0</v>
      </c>
      <c r="C44" s="2">
        <v>4.998114565E9</v>
      </c>
      <c r="D44" s="2" t="s">
        <v>2</v>
      </c>
      <c r="E44" s="24">
        <v>1.0</v>
      </c>
      <c r="F44" s="24" t="s">
        <v>195</v>
      </c>
      <c r="G44" s="26" t="s">
        <v>35</v>
      </c>
      <c r="H44" s="2">
        <v>10344.0</v>
      </c>
      <c r="I44" s="29" t="str">
        <f t="shared" si="2"/>
        <v>10344-GSB-SDS-1043600</v>
      </c>
      <c r="J44" s="32"/>
      <c r="K44" s="24"/>
      <c r="L44" s="24"/>
      <c r="M44" s="33"/>
      <c r="N44" s="33"/>
      <c r="O44" s="33"/>
      <c r="P44" s="33"/>
    </row>
    <row r="45">
      <c r="A45" s="22">
        <v>46184.0</v>
      </c>
      <c r="B45" s="24">
        <v>59889.0</v>
      </c>
      <c r="C45" s="2">
        <v>4.998114565E9</v>
      </c>
      <c r="D45" s="2" t="s">
        <v>2</v>
      </c>
      <c r="E45" s="24">
        <v>1.0</v>
      </c>
      <c r="F45" s="24" t="s">
        <v>199</v>
      </c>
      <c r="G45" s="26" t="s">
        <v>35</v>
      </c>
      <c r="H45" s="2">
        <v>10343.0</v>
      </c>
      <c r="I45" s="29" t="str">
        <f t="shared" si="2"/>
        <v>10343-GSB-SDS-1043623</v>
      </c>
      <c r="J45" s="32"/>
      <c r="K45" s="24"/>
      <c r="L45" s="24"/>
      <c r="M45" s="33"/>
      <c r="N45" s="33"/>
      <c r="O45" s="33"/>
      <c r="P45" s="33"/>
    </row>
    <row r="46">
      <c r="A46" s="22">
        <v>46184.0</v>
      </c>
      <c r="B46" s="24">
        <v>59889.0</v>
      </c>
      <c r="C46" s="2">
        <v>4.998114565E9</v>
      </c>
      <c r="D46" s="2" t="s">
        <v>2</v>
      </c>
      <c r="E46" s="24">
        <v>1.0</v>
      </c>
      <c r="F46" s="24" t="s">
        <v>204</v>
      </c>
      <c r="G46" s="26" t="s">
        <v>35</v>
      </c>
      <c r="H46" s="2">
        <v>10339.0</v>
      </c>
      <c r="I46" s="29" t="str">
        <f t="shared" si="2"/>
        <v>10339-GSB-SDS-1043583</v>
      </c>
      <c r="J46" s="32"/>
      <c r="K46" s="24"/>
      <c r="L46" s="24"/>
      <c r="M46" s="33"/>
      <c r="N46" s="33"/>
      <c r="O46" s="33"/>
      <c r="P46" s="33"/>
    </row>
    <row r="47">
      <c r="A47" s="22">
        <v>46184.0</v>
      </c>
      <c r="B47" s="24">
        <v>59889.0</v>
      </c>
      <c r="C47" s="2">
        <v>4.998114565E9</v>
      </c>
      <c r="D47" s="2" t="s">
        <v>2</v>
      </c>
      <c r="E47" s="24">
        <v>1.0</v>
      </c>
      <c r="F47" s="24" t="s">
        <v>206</v>
      </c>
      <c r="G47" s="26" t="s">
        <v>35</v>
      </c>
      <c r="H47" s="2">
        <v>10325.0</v>
      </c>
      <c r="I47" s="29" t="str">
        <f t="shared" si="2"/>
        <v>10325-GSB-SDS-1043572</v>
      </c>
      <c r="J47" s="32"/>
      <c r="K47" s="24"/>
      <c r="L47" s="24"/>
      <c r="M47" s="33"/>
      <c r="N47" s="33"/>
      <c r="O47" s="33"/>
      <c r="P47" s="33"/>
    </row>
    <row r="48">
      <c r="A48" s="22">
        <v>46184.0</v>
      </c>
      <c r="B48" s="24">
        <v>59889.0</v>
      </c>
      <c r="C48" s="2">
        <v>4.998114565E9</v>
      </c>
      <c r="D48" s="2" t="s">
        <v>2</v>
      </c>
      <c r="E48" s="24">
        <v>1.0</v>
      </c>
      <c r="F48" s="24" t="s">
        <v>208</v>
      </c>
      <c r="G48" s="26" t="s">
        <v>35</v>
      </c>
      <c r="H48" s="2">
        <v>10324.0</v>
      </c>
      <c r="I48" s="29" t="str">
        <f t="shared" si="2"/>
        <v>10324-GSB-SDS-1043631</v>
      </c>
      <c r="J48" s="32"/>
      <c r="K48" s="24"/>
      <c r="L48" s="24"/>
      <c r="M48" s="33"/>
      <c r="N48" s="33"/>
      <c r="O48" s="33"/>
      <c r="P48" s="33"/>
    </row>
    <row r="49">
      <c r="A49" s="22">
        <v>46184.0</v>
      </c>
      <c r="B49" s="24">
        <v>59889.0</v>
      </c>
      <c r="C49" s="2">
        <v>4.998114565E9</v>
      </c>
      <c r="D49" s="2" t="s">
        <v>2</v>
      </c>
      <c r="E49" s="24">
        <v>1.0</v>
      </c>
      <c r="F49" s="24" t="s">
        <v>210</v>
      </c>
      <c r="G49" s="26" t="s">
        <v>35</v>
      </c>
      <c r="H49" s="2">
        <v>10327.0</v>
      </c>
      <c r="I49" s="29" t="str">
        <f t="shared" si="2"/>
        <v>10327-GSB-SDS-1043640</v>
      </c>
      <c r="J49" s="32"/>
      <c r="K49" s="24"/>
      <c r="L49" s="24"/>
      <c r="M49" s="33"/>
      <c r="N49" s="33"/>
      <c r="O49" s="33"/>
      <c r="P49" s="33"/>
    </row>
    <row r="50">
      <c r="A50" s="22">
        <v>46184.0</v>
      </c>
      <c r="B50" s="24">
        <v>59889.0</v>
      </c>
      <c r="C50" s="2">
        <v>4.998114565E9</v>
      </c>
      <c r="D50" s="2" t="s">
        <v>2</v>
      </c>
      <c r="E50" s="24">
        <v>1.0</v>
      </c>
      <c r="F50" s="24" t="s">
        <v>212</v>
      </c>
      <c r="G50" s="26" t="s">
        <v>35</v>
      </c>
      <c r="H50" s="2">
        <v>10328.0</v>
      </c>
      <c r="I50" s="29" t="str">
        <f t="shared" si="2"/>
        <v>10328-GSB-SDS-1043592</v>
      </c>
      <c r="J50" s="32"/>
      <c r="K50" s="24"/>
      <c r="L50" s="24"/>
      <c r="M50" s="33"/>
      <c r="N50" s="33"/>
      <c r="O50" s="33"/>
      <c r="P50" s="33"/>
    </row>
    <row r="51">
      <c r="A51" s="22">
        <v>46184.0</v>
      </c>
      <c r="B51" s="24">
        <v>59889.0</v>
      </c>
      <c r="C51" s="2">
        <v>4.998114565E9</v>
      </c>
      <c r="D51" s="2" t="s">
        <v>2</v>
      </c>
      <c r="E51" s="24">
        <v>1.0</v>
      </c>
      <c r="F51" s="24" t="s">
        <v>213</v>
      </c>
      <c r="G51" s="26" t="s">
        <v>35</v>
      </c>
      <c r="H51" s="2">
        <v>10323.0</v>
      </c>
      <c r="I51" s="29" t="str">
        <f t="shared" si="2"/>
        <v>10323-GSB-SDS-1043576</v>
      </c>
      <c r="J51" s="32"/>
      <c r="K51" s="24"/>
      <c r="L51" s="24"/>
      <c r="M51" s="33"/>
      <c r="N51" s="33"/>
      <c r="O51" s="33"/>
      <c r="P51" s="33"/>
    </row>
    <row r="52">
      <c r="A52" s="22">
        <v>46184.0</v>
      </c>
      <c r="B52" s="24">
        <v>59889.0</v>
      </c>
      <c r="C52" s="2">
        <v>4.998114565E9</v>
      </c>
      <c r="D52" s="2" t="s">
        <v>2</v>
      </c>
      <c r="E52" s="24">
        <v>1.0</v>
      </c>
      <c r="F52" s="24" t="s">
        <v>215</v>
      </c>
      <c r="G52" s="26" t="s">
        <v>35</v>
      </c>
      <c r="H52" s="2">
        <v>10322.0</v>
      </c>
      <c r="I52" s="29" t="str">
        <f t="shared" si="2"/>
        <v>10322-GSB-SDS-1043591</v>
      </c>
      <c r="J52" s="32"/>
      <c r="K52" s="24"/>
      <c r="L52" s="24"/>
      <c r="M52" s="33"/>
      <c r="N52" s="33"/>
      <c r="O52" s="33"/>
      <c r="P52" s="33"/>
    </row>
    <row r="53">
      <c r="A53" s="22">
        <v>46253.0</v>
      </c>
      <c r="B53" s="24" t="s">
        <v>35</v>
      </c>
      <c r="C53" s="2">
        <v>4.998114565E9</v>
      </c>
      <c r="D53" s="2" t="s">
        <v>2</v>
      </c>
      <c r="E53" s="24">
        <v>1.0</v>
      </c>
      <c r="F53" s="24" t="s">
        <v>217</v>
      </c>
      <c r="G53" s="26" t="s">
        <v>35</v>
      </c>
      <c r="H53" s="2">
        <v>10476.0</v>
      </c>
      <c r="I53" s="29" t="str">
        <f t="shared" si="2"/>
        <v>10476-GSB-SDS/1044588</v>
      </c>
      <c r="J53" s="32"/>
      <c r="K53" s="24"/>
      <c r="L53" s="24"/>
      <c r="M53" s="33"/>
      <c r="N53" s="33"/>
      <c r="O53" s="33"/>
      <c r="P53" s="33"/>
    </row>
    <row r="54">
      <c r="A54" s="22">
        <v>46253.0</v>
      </c>
      <c r="B54" s="24" t="s">
        <v>35</v>
      </c>
      <c r="C54" s="2">
        <v>4.998114565E9</v>
      </c>
      <c r="D54" s="2" t="s">
        <v>2</v>
      </c>
      <c r="E54" s="24">
        <v>1.0</v>
      </c>
      <c r="F54" s="24" t="s">
        <v>219</v>
      </c>
      <c r="G54" s="26" t="s">
        <v>35</v>
      </c>
      <c r="H54" s="2">
        <v>10478.0</v>
      </c>
      <c r="I54" s="29" t="str">
        <f t="shared" si="2"/>
        <v>10478-GSB-SDS/1044591</v>
      </c>
      <c r="J54" s="32"/>
      <c r="K54" s="24"/>
      <c r="L54" s="24"/>
      <c r="M54" s="33"/>
      <c r="N54" s="33"/>
      <c r="O54" s="33"/>
      <c r="P54" s="33"/>
    </row>
    <row r="55">
      <c r="A55" s="22">
        <v>46253.0</v>
      </c>
      <c r="B55" s="24" t="s">
        <v>35</v>
      </c>
      <c r="C55" s="2">
        <v>4.998114565E9</v>
      </c>
      <c r="D55" s="2" t="s">
        <v>2</v>
      </c>
      <c r="E55" s="24">
        <v>1.0</v>
      </c>
      <c r="F55" s="24" t="s">
        <v>221</v>
      </c>
      <c r="G55" s="26" t="s">
        <v>35</v>
      </c>
      <c r="H55" s="2">
        <v>10479.0</v>
      </c>
      <c r="I55" s="29" t="str">
        <f t="shared" ref="I55:I59" si="3">CONCATENATE(H55,"-","GSB","-",G55)</f>
        <v>10479-GSB-N/A</v>
      </c>
      <c r="J55" s="32"/>
      <c r="K55" s="24"/>
      <c r="L55" s="24"/>
      <c r="M55" s="33"/>
      <c r="N55" s="33"/>
      <c r="O55" s="33"/>
      <c r="P55" s="33"/>
    </row>
    <row r="56">
      <c r="A56" s="22">
        <v>46253.0</v>
      </c>
      <c r="B56" s="24" t="s">
        <v>35</v>
      </c>
      <c r="C56" s="2">
        <v>4.998114565E9</v>
      </c>
      <c r="D56" s="2" t="s">
        <v>2</v>
      </c>
      <c r="E56" s="24">
        <v>1.0</v>
      </c>
      <c r="F56" s="24" t="s">
        <v>223</v>
      </c>
      <c r="G56" s="26" t="s">
        <v>35</v>
      </c>
      <c r="H56" s="2">
        <v>10480.0</v>
      </c>
      <c r="I56" s="29" t="str">
        <f t="shared" si="3"/>
        <v>10480-GSB-N/A</v>
      </c>
      <c r="J56" s="32"/>
      <c r="K56" s="24"/>
      <c r="L56" s="24"/>
      <c r="M56" s="33"/>
      <c r="N56" s="33"/>
      <c r="O56" s="33"/>
      <c r="P56" s="33"/>
    </row>
    <row r="57">
      <c r="A57" s="22">
        <v>46253.0</v>
      </c>
      <c r="B57" s="24" t="s">
        <v>35</v>
      </c>
      <c r="C57" s="2">
        <v>4.998114565E9</v>
      </c>
      <c r="D57" s="2" t="s">
        <v>2</v>
      </c>
      <c r="E57" s="24">
        <v>1.0</v>
      </c>
      <c r="F57" s="24" t="s">
        <v>225</v>
      </c>
      <c r="G57" s="26" t="s">
        <v>35</v>
      </c>
      <c r="H57" s="2">
        <v>10481.0</v>
      </c>
      <c r="I57" s="29" t="str">
        <f t="shared" si="3"/>
        <v>10481-GSB-N/A</v>
      </c>
      <c r="J57" s="32"/>
      <c r="K57" s="24"/>
      <c r="L57" s="24"/>
      <c r="M57" s="33"/>
      <c r="N57" s="33"/>
      <c r="O57" s="33"/>
      <c r="P57" s="33"/>
    </row>
    <row r="58">
      <c r="A58" s="22">
        <v>46253.0</v>
      </c>
      <c r="B58" s="24" t="s">
        <v>35</v>
      </c>
      <c r="C58" s="2">
        <v>4.998114565E9</v>
      </c>
      <c r="D58" s="2" t="s">
        <v>2</v>
      </c>
      <c r="E58" s="24">
        <v>1.0</v>
      </c>
      <c r="F58" s="24" t="s">
        <v>226</v>
      </c>
      <c r="G58" s="26" t="s">
        <v>35</v>
      </c>
      <c r="H58" s="2">
        <v>10482.0</v>
      </c>
      <c r="I58" s="29" t="str">
        <f t="shared" si="3"/>
        <v>10482-GSB-N/A</v>
      </c>
      <c r="J58" s="32"/>
      <c r="K58" s="24"/>
      <c r="L58" s="24"/>
      <c r="M58" s="33"/>
      <c r="N58" s="33"/>
      <c r="O58" s="33"/>
      <c r="P58" s="33"/>
    </row>
    <row r="59">
      <c r="A59" s="22">
        <v>46253.0</v>
      </c>
      <c r="B59" s="24" t="s">
        <v>35</v>
      </c>
      <c r="C59" s="2">
        <v>4.998114565E9</v>
      </c>
      <c r="D59" s="2" t="s">
        <v>2</v>
      </c>
      <c r="E59" s="24">
        <v>1.0</v>
      </c>
      <c r="F59" s="24" t="s">
        <v>228</v>
      </c>
      <c r="G59" s="26" t="s">
        <v>35</v>
      </c>
      <c r="H59" s="2">
        <v>10483.0</v>
      </c>
      <c r="I59" s="29" t="str">
        <f t="shared" si="3"/>
        <v>10483-GSB-N/A</v>
      </c>
      <c r="J59" s="32"/>
      <c r="K59" s="24"/>
      <c r="L59" s="24"/>
      <c r="M59" s="33"/>
      <c r="N59" s="33"/>
      <c r="O59" s="33"/>
      <c r="P59" s="33"/>
    </row>
    <row r="60">
      <c r="A60" s="22">
        <v>46184.0</v>
      </c>
      <c r="B60" s="24">
        <v>59889.0</v>
      </c>
      <c r="C60" s="2">
        <v>4.998114565E9</v>
      </c>
      <c r="D60" s="2" t="s">
        <v>2</v>
      </c>
      <c r="E60" s="24">
        <v>1.0</v>
      </c>
      <c r="F60" s="24" t="s">
        <v>230</v>
      </c>
      <c r="G60" s="26" t="s">
        <v>35</v>
      </c>
      <c r="H60" s="2">
        <v>10315.0</v>
      </c>
      <c r="I60" s="29" t="str">
        <f t="shared" ref="I60:I69" si="4">CONCATENATE(H60,"-","GSB","-",F60)</f>
        <v>10315-GSB-SDS-1040405</v>
      </c>
      <c r="J60" s="32"/>
      <c r="K60" s="24"/>
      <c r="L60" s="24"/>
      <c r="M60" s="33"/>
      <c r="N60" s="33"/>
      <c r="O60" s="33"/>
      <c r="P60" s="33"/>
    </row>
    <row r="61">
      <c r="A61" s="22">
        <v>45897.0</v>
      </c>
      <c r="B61" s="24">
        <v>2.093501849E9</v>
      </c>
      <c r="C61" s="2" t="s">
        <v>148</v>
      </c>
      <c r="D61" s="2" t="s">
        <v>4</v>
      </c>
      <c r="E61" s="24">
        <v>1.0</v>
      </c>
      <c r="F61" s="24" t="s">
        <v>35</v>
      </c>
      <c r="G61" s="26" t="s">
        <v>35</v>
      </c>
      <c r="H61" s="2">
        <v>6817.0</v>
      </c>
      <c r="I61" s="29" t="str">
        <f t="shared" si="4"/>
        <v>6817-GSB-N/A</v>
      </c>
      <c r="J61" s="32"/>
      <c r="K61" s="24"/>
      <c r="L61" s="24"/>
      <c r="M61" s="33"/>
      <c r="N61" s="33"/>
      <c r="O61" s="33"/>
      <c r="P61" s="33"/>
    </row>
    <row r="62">
      <c r="A62" s="22">
        <v>45897.0</v>
      </c>
      <c r="B62" s="24">
        <v>2.093501849E9</v>
      </c>
      <c r="C62" s="2" t="s">
        <v>148</v>
      </c>
      <c r="D62" s="2" t="s">
        <v>4</v>
      </c>
      <c r="E62" s="24">
        <v>1.0</v>
      </c>
      <c r="F62" s="24" t="s">
        <v>35</v>
      </c>
      <c r="G62" s="26" t="s">
        <v>35</v>
      </c>
      <c r="H62" s="2">
        <v>6839.0</v>
      </c>
      <c r="I62" s="29" t="str">
        <f t="shared" si="4"/>
        <v>6839-GSB-N/A</v>
      </c>
      <c r="J62" s="24"/>
      <c r="K62" s="24"/>
      <c r="L62" s="24"/>
      <c r="M62" s="33"/>
      <c r="N62" s="33"/>
      <c r="O62" s="33"/>
      <c r="P62" s="33"/>
    </row>
    <row r="63">
      <c r="A63" s="22">
        <v>46141.0</v>
      </c>
      <c r="B63" s="24" t="s">
        <v>35</v>
      </c>
      <c r="C63" s="2" t="s">
        <v>35</v>
      </c>
      <c r="D63" s="2" t="s">
        <v>29</v>
      </c>
      <c r="E63" s="24">
        <v>1.0</v>
      </c>
      <c r="F63" s="24" t="s">
        <v>35</v>
      </c>
      <c r="G63" s="26" t="s">
        <v>35</v>
      </c>
      <c r="H63" s="2">
        <v>10185.0</v>
      </c>
      <c r="I63" s="29" t="str">
        <f t="shared" si="4"/>
        <v>10185-GSB-N/A</v>
      </c>
      <c r="J63" s="32"/>
      <c r="K63" s="32"/>
      <c r="L63" s="24"/>
      <c r="M63" s="33"/>
      <c r="N63" s="33"/>
      <c r="O63" s="33"/>
      <c r="P63" s="33"/>
    </row>
    <row r="64">
      <c r="A64" s="22">
        <v>46189.0</v>
      </c>
      <c r="B64" s="24" t="s">
        <v>233</v>
      </c>
      <c r="C64" s="2">
        <v>4.998117557E9</v>
      </c>
      <c r="D64" s="2" t="s">
        <v>5</v>
      </c>
      <c r="E64" s="24">
        <v>1.0</v>
      </c>
      <c r="F64" s="24" t="s">
        <v>234</v>
      </c>
      <c r="G64" s="26" t="s">
        <v>235</v>
      </c>
      <c r="H64" s="2">
        <v>5575.0</v>
      </c>
      <c r="I64" s="29" t="str">
        <f t="shared" si="4"/>
        <v>5575-GSB-SDS - 1032926</v>
      </c>
      <c r="J64" s="32"/>
      <c r="K64" s="24"/>
      <c r="L64" s="24"/>
      <c r="M64" s="33"/>
      <c r="N64" s="33"/>
      <c r="O64" s="33"/>
      <c r="P64" s="33"/>
    </row>
    <row r="65">
      <c r="A65" s="22">
        <v>46189.0</v>
      </c>
      <c r="B65" s="24" t="s">
        <v>233</v>
      </c>
      <c r="C65" s="2">
        <v>4.998117557E9</v>
      </c>
      <c r="D65" s="2" t="s">
        <v>5</v>
      </c>
      <c r="E65" s="24">
        <v>1.0</v>
      </c>
      <c r="F65" s="24" t="s">
        <v>236</v>
      </c>
      <c r="G65" s="26" t="s">
        <v>237</v>
      </c>
      <c r="H65" s="2">
        <v>5777.0</v>
      </c>
      <c r="I65" s="29" t="str">
        <f t="shared" si="4"/>
        <v>5777-GSB-SDS - 1037100</v>
      </c>
      <c r="J65" s="32"/>
      <c r="K65" s="24"/>
      <c r="L65" s="24"/>
      <c r="M65" s="33"/>
      <c r="N65" s="33"/>
      <c r="O65" s="33"/>
      <c r="P65" s="33"/>
    </row>
    <row r="66">
      <c r="A66" s="22">
        <v>46189.0</v>
      </c>
      <c r="B66" s="24" t="s">
        <v>233</v>
      </c>
      <c r="C66" s="2">
        <v>4.998117557E9</v>
      </c>
      <c r="D66" s="2" t="s">
        <v>5</v>
      </c>
      <c r="E66" s="24">
        <v>1.0</v>
      </c>
      <c r="F66" s="24" t="s">
        <v>238</v>
      </c>
      <c r="G66" s="26" t="s">
        <v>239</v>
      </c>
      <c r="H66" s="2">
        <v>5121.0</v>
      </c>
      <c r="I66" s="29" t="str">
        <f t="shared" si="4"/>
        <v>5121-GSB-SDS - 1032361</v>
      </c>
      <c r="J66" s="32"/>
      <c r="K66" s="24"/>
      <c r="L66" s="24"/>
      <c r="M66" s="33"/>
      <c r="N66" s="33"/>
      <c r="O66" s="33"/>
      <c r="P66" s="33"/>
    </row>
    <row r="67">
      <c r="A67" s="22">
        <v>46189.0</v>
      </c>
      <c r="B67" s="24" t="s">
        <v>233</v>
      </c>
      <c r="C67" s="2">
        <v>4.998117557E9</v>
      </c>
      <c r="D67" s="2" t="s">
        <v>5</v>
      </c>
      <c r="E67" s="24">
        <v>1.0</v>
      </c>
      <c r="F67" s="24" t="s">
        <v>240</v>
      </c>
      <c r="G67" s="26" t="s">
        <v>241</v>
      </c>
      <c r="H67" s="2">
        <v>4875.0</v>
      </c>
      <c r="I67" s="29" t="str">
        <f t="shared" si="4"/>
        <v>4875-GSB-SDS - 1032359</v>
      </c>
      <c r="J67" s="32"/>
      <c r="K67" s="24"/>
      <c r="L67" s="24"/>
      <c r="M67" s="33"/>
      <c r="N67" s="33"/>
      <c r="O67" s="33"/>
      <c r="P67" s="33"/>
    </row>
    <row r="68">
      <c r="A68" s="22">
        <v>46189.0</v>
      </c>
      <c r="B68" s="24" t="s">
        <v>233</v>
      </c>
      <c r="C68" s="2">
        <v>4.998117557E9</v>
      </c>
      <c r="D68" s="2" t="s">
        <v>5</v>
      </c>
      <c r="E68" s="24">
        <v>1.0</v>
      </c>
      <c r="F68" s="24" t="s">
        <v>242</v>
      </c>
      <c r="G68" s="26" t="s">
        <v>243</v>
      </c>
      <c r="H68" s="2">
        <v>5573.0</v>
      </c>
      <c r="I68" s="29" t="str">
        <f t="shared" si="4"/>
        <v>5573-GSB-SDS - 1032938</v>
      </c>
      <c r="J68" s="32"/>
      <c r="K68" s="24"/>
      <c r="L68" s="24"/>
      <c r="M68" s="33"/>
      <c r="N68" s="33"/>
      <c r="O68" s="33"/>
      <c r="P68" s="33"/>
    </row>
    <row r="69">
      <c r="A69" s="22">
        <v>46189.0</v>
      </c>
      <c r="B69" s="24" t="s">
        <v>233</v>
      </c>
      <c r="C69" s="2">
        <v>4.998117557E9</v>
      </c>
      <c r="D69" s="2" t="s">
        <v>5</v>
      </c>
      <c r="E69" s="24">
        <v>1.0</v>
      </c>
      <c r="F69" s="24" t="s">
        <v>244</v>
      </c>
      <c r="G69" s="26" t="s">
        <v>245</v>
      </c>
      <c r="H69" s="2">
        <v>5110.0</v>
      </c>
      <c r="I69" s="29" t="str">
        <f t="shared" si="4"/>
        <v>5110-GSB-SDS - 1032391</v>
      </c>
      <c r="J69" s="32"/>
      <c r="K69" s="24"/>
      <c r="L69" s="24"/>
      <c r="M69" s="33"/>
      <c r="N69" s="33"/>
      <c r="O69" s="33"/>
      <c r="P69" s="33"/>
    </row>
    <row r="70">
      <c r="A70" s="22">
        <v>46189.0</v>
      </c>
      <c r="B70" s="24" t="s">
        <v>233</v>
      </c>
      <c r="C70" s="2">
        <v>4.998117557E9</v>
      </c>
      <c r="D70" s="2" t="s">
        <v>5</v>
      </c>
      <c r="E70" s="24">
        <v>1.0</v>
      </c>
      <c r="F70" s="24" t="s">
        <v>246</v>
      </c>
      <c r="G70" s="26" t="s">
        <v>247</v>
      </c>
      <c r="H70" s="2">
        <v>4874.0</v>
      </c>
      <c r="I70" s="29" t="str">
        <f t="shared" ref="I70:I71" si="5">CONCATENATE(H70,"-","GSB","-",G70)</f>
        <v>4874-GSB-092256847517520243</v>
      </c>
      <c r="J70" s="32"/>
      <c r="K70" s="24"/>
      <c r="L70" s="24"/>
      <c r="M70" s="33"/>
      <c r="N70" s="33"/>
      <c r="O70" s="33"/>
      <c r="P70" s="33"/>
    </row>
    <row r="71">
      <c r="A71" s="22">
        <v>46189.0</v>
      </c>
      <c r="B71" s="24" t="s">
        <v>233</v>
      </c>
      <c r="C71" s="2">
        <v>4.998117557E9</v>
      </c>
      <c r="D71" s="2" t="s">
        <v>5</v>
      </c>
      <c r="E71" s="24">
        <v>1.0</v>
      </c>
      <c r="F71" s="24" t="s">
        <v>248</v>
      </c>
      <c r="G71" s="26" t="s">
        <v>249</v>
      </c>
      <c r="H71" s="2">
        <v>4978.0</v>
      </c>
      <c r="I71" s="29" t="str">
        <f t="shared" si="5"/>
        <v>4978-GSB-092256847591000839</v>
      </c>
      <c r="J71" s="32"/>
      <c r="K71" s="24"/>
      <c r="L71" s="24"/>
      <c r="M71" s="33"/>
      <c r="N71" s="33"/>
      <c r="O71" s="33"/>
      <c r="P71" s="33"/>
    </row>
    <row r="72">
      <c r="A72" s="22">
        <v>46174.0</v>
      </c>
      <c r="B72" s="24" t="s">
        <v>250</v>
      </c>
      <c r="C72" s="2">
        <v>4.998117557E9</v>
      </c>
      <c r="D72" s="2" t="s">
        <v>5</v>
      </c>
      <c r="E72" s="24">
        <v>1.0</v>
      </c>
      <c r="F72" s="24" t="s">
        <v>250</v>
      </c>
      <c r="G72" s="26" t="s">
        <v>251</v>
      </c>
      <c r="H72" s="2">
        <v>5604.0</v>
      </c>
      <c r="I72" s="29" t="str">
        <f>CONCATENATE(H72,"-","GSB","-",F72)</f>
        <v>5604-GSB-SDS/1032985</v>
      </c>
      <c r="J72" s="32"/>
      <c r="K72" s="24"/>
      <c r="L72" s="24"/>
      <c r="M72" s="33"/>
      <c r="N72" s="33"/>
      <c r="O72" s="33"/>
      <c r="P72" s="33"/>
    </row>
    <row r="73">
      <c r="A73" s="22">
        <v>46275.0</v>
      </c>
      <c r="B73" s="2" t="s">
        <v>252</v>
      </c>
      <c r="C73" s="2" t="s">
        <v>35</v>
      </c>
      <c r="D73" s="2" t="s">
        <v>32</v>
      </c>
      <c r="E73" s="24">
        <v>1.0</v>
      </c>
      <c r="F73" s="24" t="s">
        <v>253</v>
      </c>
      <c r="G73" s="24" t="s">
        <v>35</v>
      </c>
      <c r="H73" s="61">
        <v>10566.0</v>
      </c>
      <c r="I73" s="29" t="str">
        <f t="shared" ref="I73:I152" si="6">CONCATENATE(H73,"-","GSB","-",G73)</f>
        <v>10566-GSB-N/A</v>
      </c>
      <c r="J73" s="32"/>
      <c r="K73" s="24"/>
      <c r="L73" s="54"/>
      <c r="M73" s="33"/>
      <c r="N73" s="33"/>
      <c r="O73" s="33"/>
      <c r="P73" s="33"/>
    </row>
    <row r="74">
      <c r="A74" s="22">
        <v>46275.0</v>
      </c>
      <c r="B74" s="2" t="s">
        <v>252</v>
      </c>
      <c r="C74" s="2" t="s">
        <v>35</v>
      </c>
      <c r="D74" s="2" t="s">
        <v>32</v>
      </c>
      <c r="E74" s="24">
        <v>1.0</v>
      </c>
      <c r="F74" s="24" t="s">
        <v>254</v>
      </c>
      <c r="G74" s="24" t="s">
        <v>35</v>
      </c>
      <c r="H74" s="61">
        <v>10567.0</v>
      </c>
      <c r="I74" s="29" t="str">
        <f t="shared" si="6"/>
        <v>10567-GSB-N/A</v>
      </c>
      <c r="J74" s="32"/>
      <c r="K74" s="24"/>
      <c r="L74" s="54"/>
      <c r="M74" s="33"/>
      <c r="N74" s="33"/>
      <c r="O74" s="33"/>
      <c r="P74" s="33"/>
    </row>
    <row r="75">
      <c r="A75" s="22">
        <v>46275.0</v>
      </c>
      <c r="B75" s="2" t="s">
        <v>252</v>
      </c>
      <c r="C75" s="2" t="s">
        <v>35</v>
      </c>
      <c r="D75" s="2" t="s">
        <v>32</v>
      </c>
      <c r="E75" s="24">
        <v>1.0</v>
      </c>
      <c r="F75" s="24" t="s">
        <v>256</v>
      </c>
      <c r="G75" s="24" t="s">
        <v>35</v>
      </c>
      <c r="H75" s="61">
        <v>10568.0</v>
      </c>
      <c r="I75" s="29" t="str">
        <f t="shared" si="6"/>
        <v>10568-GSB-N/A</v>
      </c>
      <c r="J75" s="32"/>
      <c r="K75" s="24"/>
      <c r="L75" s="54"/>
      <c r="M75" s="33"/>
      <c r="N75" s="33"/>
      <c r="O75" s="33"/>
      <c r="P75" s="33"/>
    </row>
    <row r="76">
      <c r="A76" s="22">
        <v>46275.0</v>
      </c>
      <c r="B76" s="2" t="s">
        <v>252</v>
      </c>
      <c r="C76" s="2" t="s">
        <v>35</v>
      </c>
      <c r="D76" s="2" t="s">
        <v>32</v>
      </c>
      <c r="E76" s="24">
        <v>1.0</v>
      </c>
      <c r="F76" s="24" t="s">
        <v>258</v>
      </c>
      <c r="G76" s="24" t="s">
        <v>35</v>
      </c>
      <c r="H76" s="61">
        <v>10569.0</v>
      </c>
      <c r="I76" s="29" t="str">
        <f t="shared" si="6"/>
        <v>10569-GSB-N/A</v>
      </c>
      <c r="J76" s="32"/>
      <c r="K76" s="24"/>
      <c r="L76" s="54"/>
      <c r="M76" s="33"/>
      <c r="N76" s="33"/>
      <c r="O76" s="33"/>
      <c r="P76" s="33"/>
    </row>
    <row r="77">
      <c r="A77" s="22">
        <v>46275.0</v>
      </c>
      <c r="B77" s="2" t="s">
        <v>252</v>
      </c>
      <c r="C77" s="2" t="s">
        <v>35</v>
      </c>
      <c r="D77" s="2" t="s">
        <v>32</v>
      </c>
      <c r="E77" s="24">
        <v>1.0</v>
      </c>
      <c r="F77" s="24" t="s">
        <v>260</v>
      </c>
      <c r="G77" s="24" t="s">
        <v>35</v>
      </c>
      <c r="H77" s="61">
        <v>10570.0</v>
      </c>
      <c r="I77" s="29" t="str">
        <f t="shared" si="6"/>
        <v>10570-GSB-N/A</v>
      </c>
      <c r="J77" s="32"/>
      <c r="K77" s="24"/>
      <c r="L77" s="54"/>
      <c r="M77" s="33"/>
      <c r="N77" s="33"/>
      <c r="O77" s="33"/>
      <c r="P77" s="33"/>
    </row>
    <row r="78">
      <c r="A78" s="22">
        <v>46275.0</v>
      </c>
      <c r="B78" s="2" t="s">
        <v>252</v>
      </c>
      <c r="C78" s="2" t="s">
        <v>35</v>
      </c>
      <c r="D78" s="2" t="s">
        <v>32</v>
      </c>
      <c r="E78" s="24">
        <v>1.0</v>
      </c>
      <c r="F78" s="24" t="s">
        <v>261</v>
      </c>
      <c r="G78" s="24" t="s">
        <v>35</v>
      </c>
      <c r="H78" s="61">
        <v>10571.0</v>
      </c>
      <c r="I78" s="29" t="str">
        <f t="shared" si="6"/>
        <v>10571-GSB-N/A</v>
      </c>
      <c r="J78" s="32"/>
      <c r="K78" s="24"/>
      <c r="L78" s="54"/>
      <c r="M78" s="33"/>
      <c r="N78" s="33"/>
      <c r="O78" s="33"/>
      <c r="P78" s="33"/>
    </row>
    <row r="79">
      <c r="A79" s="22">
        <v>46275.0</v>
      </c>
      <c r="B79" s="2" t="s">
        <v>252</v>
      </c>
      <c r="C79" s="2" t="s">
        <v>35</v>
      </c>
      <c r="D79" s="2" t="s">
        <v>32</v>
      </c>
      <c r="E79" s="24">
        <v>1.0</v>
      </c>
      <c r="F79" s="24" t="s">
        <v>263</v>
      </c>
      <c r="G79" s="24" t="s">
        <v>35</v>
      </c>
      <c r="H79" s="61">
        <v>10572.0</v>
      </c>
      <c r="I79" s="29" t="str">
        <f t="shared" si="6"/>
        <v>10572-GSB-N/A</v>
      </c>
      <c r="J79" s="32"/>
      <c r="K79" s="24"/>
      <c r="L79" s="54"/>
      <c r="M79" s="33"/>
      <c r="N79" s="33"/>
      <c r="O79" s="33"/>
      <c r="P79" s="33"/>
    </row>
    <row r="80">
      <c r="A80" s="22">
        <v>46275.0</v>
      </c>
      <c r="B80" s="2" t="s">
        <v>252</v>
      </c>
      <c r="C80" s="2" t="s">
        <v>35</v>
      </c>
      <c r="D80" s="2" t="s">
        <v>32</v>
      </c>
      <c r="E80" s="24">
        <v>1.0</v>
      </c>
      <c r="F80" s="24" t="s">
        <v>267</v>
      </c>
      <c r="G80" s="24" t="s">
        <v>35</v>
      </c>
      <c r="H80" s="61">
        <v>10573.0</v>
      </c>
      <c r="I80" s="29" t="str">
        <f t="shared" si="6"/>
        <v>10573-GSB-N/A</v>
      </c>
      <c r="J80" s="32"/>
      <c r="K80" s="24"/>
      <c r="L80" s="54"/>
      <c r="M80" s="33"/>
      <c r="N80" s="33"/>
      <c r="O80" s="33"/>
      <c r="P80" s="33"/>
    </row>
    <row r="81">
      <c r="A81" s="22">
        <v>46275.0</v>
      </c>
      <c r="B81" s="2" t="s">
        <v>252</v>
      </c>
      <c r="C81" s="2" t="s">
        <v>35</v>
      </c>
      <c r="D81" s="2" t="s">
        <v>32</v>
      </c>
      <c r="E81" s="24">
        <v>1.0</v>
      </c>
      <c r="F81" s="24" t="s">
        <v>271</v>
      </c>
      <c r="G81" s="24" t="s">
        <v>35</v>
      </c>
      <c r="H81" s="61">
        <v>10574.0</v>
      </c>
      <c r="I81" s="29" t="str">
        <f t="shared" si="6"/>
        <v>10574-GSB-N/A</v>
      </c>
      <c r="J81" s="32"/>
      <c r="K81" s="24"/>
      <c r="L81" s="54"/>
      <c r="M81" s="33"/>
      <c r="N81" s="33"/>
      <c r="O81" s="33"/>
      <c r="P81" s="33"/>
    </row>
    <row r="82">
      <c r="A82" s="22">
        <v>46275.0</v>
      </c>
      <c r="B82" s="2" t="s">
        <v>252</v>
      </c>
      <c r="C82" s="2" t="s">
        <v>35</v>
      </c>
      <c r="D82" s="2" t="s">
        <v>32</v>
      </c>
      <c r="E82" s="24">
        <v>1.0</v>
      </c>
      <c r="F82" s="24" t="s">
        <v>273</v>
      </c>
      <c r="G82" s="24" t="s">
        <v>35</v>
      </c>
      <c r="H82" s="61">
        <v>10575.0</v>
      </c>
      <c r="I82" s="29" t="str">
        <f t="shared" si="6"/>
        <v>10575-GSB-N/A</v>
      </c>
      <c r="J82" s="32"/>
      <c r="K82" s="24"/>
      <c r="L82" s="54"/>
      <c r="M82" s="33"/>
      <c r="N82" s="33"/>
      <c r="O82" s="33"/>
      <c r="P82" s="33"/>
    </row>
    <row r="83">
      <c r="A83" s="22">
        <v>46275.0</v>
      </c>
      <c r="B83" s="2" t="s">
        <v>252</v>
      </c>
      <c r="C83" s="2" t="s">
        <v>35</v>
      </c>
      <c r="D83" s="2" t="s">
        <v>32</v>
      </c>
      <c r="E83" s="24">
        <v>1.0</v>
      </c>
      <c r="F83" s="24" t="s">
        <v>275</v>
      </c>
      <c r="G83" s="24" t="s">
        <v>35</v>
      </c>
      <c r="H83" s="61">
        <v>10576.0</v>
      </c>
      <c r="I83" s="29" t="str">
        <f t="shared" si="6"/>
        <v>10576-GSB-N/A</v>
      </c>
      <c r="J83" s="32"/>
      <c r="K83" s="24"/>
      <c r="L83" s="54"/>
      <c r="M83" s="33"/>
      <c r="N83" s="33"/>
      <c r="O83" s="33"/>
      <c r="P83" s="33"/>
    </row>
    <row r="84">
      <c r="A84" s="22">
        <v>46275.0</v>
      </c>
      <c r="B84" s="2" t="s">
        <v>252</v>
      </c>
      <c r="C84" s="2" t="s">
        <v>35</v>
      </c>
      <c r="D84" s="2" t="s">
        <v>32</v>
      </c>
      <c r="E84" s="24">
        <v>1.0</v>
      </c>
      <c r="F84" s="24" t="s">
        <v>277</v>
      </c>
      <c r="G84" s="24" t="s">
        <v>35</v>
      </c>
      <c r="H84" s="61">
        <v>10577.0</v>
      </c>
      <c r="I84" s="29" t="str">
        <f t="shared" si="6"/>
        <v>10577-GSB-N/A</v>
      </c>
      <c r="J84" s="32"/>
      <c r="K84" s="24"/>
      <c r="L84" s="54"/>
      <c r="M84" s="33"/>
      <c r="N84" s="33"/>
      <c r="O84" s="33"/>
      <c r="P84" s="33"/>
    </row>
    <row r="85">
      <c r="A85" s="22">
        <v>46275.0</v>
      </c>
      <c r="B85" s="2" t="s">
        <v>252</v>
      </c>
      <c r="C85" s="2" t="s">
        <v>35</v>
      </c>
      <c r="D85" s="2" t="s">
        <v>32</v>
      </c>
      <c r="E85" s="24">
        <v>1.0</v>
      </c>
      <c r="F85" s="24" t="s">
        <v>279</v>
      </c>
      <c r="G85" s="24" t="s">
        <v>35</v>
      </c>
      <c r="H85" s="61">
        <v>10578.0</v>
      </c>
      <c r="I85" s="29" t="str">
        <f t="shared" si="6"/>
        <v>10578-GSB-N/A</v>
      </c>
      <c r="J85" s="32"/>
      <c r="K85" s="24"/>
      <c r="L85" s="54"/>
      <c r="M85" s="33"/>
      <c r="N85" s="33"/>
      <c r="O85" s="33"/>
      <c r="P85" s="33"/>
    </row>
    <row r="86">
      <c r="A86" s="22">
        <v>46275.0</v>
      </c>
      <c r="B86" s="2" t="s">
        <v>252</v>
      </c>
      <c r="C86" s="2" t="s">
        <v>35</v>
      </c>
      <c r="D86" s="2" t="s">
        <v>32</v>
      </c>
      <c r="E86" s="24">
        <v>1.0</v>
      </c>
      <c r="F86" s="24" t="s">
        <v>281</v>
      </c>
      <c r="G86" s="24" t="s">
        <v>35</v>
      </c>
      <c r="H86" s="61">
        <v>10579.0</v>
      </c>
      <c r="I86" s="29" t="str">
        <f t="shared" si="6"/>
        <v>10579-GSB-N/A</v>
      </c>
      <c r="J86" s="32"/>
      <c r="K86" s="24"/>
      <c r="L86" s="54"/>
      <c r="M86" s="33"/>
      <c r="N86" s="33"/>
      <c r="O86" s="33"/>
      <c r="P86" s="33"/>
    </row>
    <row r="87">
      <c r="A87" s="22">
        <v>46275.0</v>
      </c>
      <c r="B87" s="2" t="s">
        <v>252</v>
      </c>
      <c r="C87" s="2" t="s">
        <v>35</v>
      </c>
      <c r="D87" s="2" t="s">
        <v>32</v>
      </c>
      <c r="E87" s="24">
        <v>1.0</v>
      </c>
      <c r="F87" s="24" t="s">
        <v>283</v>
      </c>
      <c r="G87" s="24" t="s">
        <v>35</v>
      </c>
      <c r="H87" s="61">
        <v>10580.0</v>
      </c>
      <c r="I87" s="29" t="str">
        <f t="shared" si="6"/>
        <v>10580-GSB-N/A</v>
      </c>
      <c r="J87" s="32"/>
      <c r="K87" s="24"/>
      <c r="L87" s="54"/>
      <c r="M87" s="33"/>
      <c r="N87" s="33"/>
      <c r="O87" s="33"/>
      <c r="P87" s="33"/>
    </row>
    <row r="88">
      <c r="A88" s="22">
        <v>46275.0</v>
      </c>
      <c r="B88" s="2" t="s">
        <v>252</v>
      </c>
      <c r="C88" s="2" t="s">
        <v>35</v>
      </c>
      <c r="D88" s="2" t="s">
        <v>32</v>
      </c>
      <c r="E88" s="24">
        <v>1.0</v>
      </c>
      <c r="F88" s="24" t="s">
        <v>285</v>
      </c>
      <c r="G88" s="24" t="s">
        <v>35</v>
      </c>
      <c r="H88" s="61">
        <v>10581.0</v>
      </c>
      <c r="I88" s="29" t="str">
        <f t="shared" si="6"/>
        <v>10581-GSB-N/A</v>
      </c>
      <c r="J88" s="32"/>
      <c r="K88" s="24"/>
      <c r="L88" s="54"/>
      <c r="M88" s="33"/>
      <c r="N88" s="33"/>
      <c r="O88" s="33"/>
      <c r="P88" s="33"/>
    </row>
    <row r="89">
      <c r="A89" s="22">
        <v>46275.0</v>
      </c>
      <c r="B89" s="2" t="s">
        <v>252</v>
      </c>
      <c r="C89" s="2" t="s">
        <v>35</v>
      </c>
      <c r="D89" s="2" t="s">
        <v>32</v>
      </c>
      <c r="E89" s="24">
        <v>1.0</v>
      </c>
      <c r="F89" s="24" t="s">
        <v>286</v>
      </c>
      <c r="G89" s="24" t="s">
        <v>35</v>
      </c>
      <c r="H89" s="61">
        <v>10582.0</v>
      </c>
      <c r="I89" s="29" t="str">
        <f t="shared" si="6"/>
        <v>10582-GSB-N/A</v>
      </c>
      <c r="J89" s="32"/>
      <c r="K89" s="24"/>
      <c r="L89" s="54"/>
      <c r="M89" s="33"/>
      <c r="N89" s="33"/>
      <c r="O89" s="33"/>
      <c r="P89" s="33"/>
    </row>
    <row r="90">
      <c r="A90" s="22">
        <v>46275.0</v>
      </c>
      <c r="B90" s="2" t="s">
        <v>252</v>
      </c>
      <c r="C90" s="2" t="s">
        <v>35</v>
      </c>
      <c r="D90" s="2" t="s">
        <v>32</v>
      </c>
      <c r="E90" s="24">
        <v>1.0</v>
      </c>
      <c r="F90" s="24" t="s">
        <v>288</v>
      </c>
      <c r="G90" s="24" t="s">
        <v>35</v>
      </c>
      <c r="H90" s="61">
        <v>10583.0</v>
      </c>
      <c r="I90" s="29" t="str">
        <f t="shared" si="6"/>
        <v>10583-GSB-N/A</v>
      </c>
      <c r="J90" s="32"/>
      <c r="K90" s="24"/>
      <c r="L90" s="54"/>
      <c r="M90" s="33"/>
      <c r="N90" s="33"/>
      <c r="O90" s="33"/>
      <c r="P90" s="33"/>
    </row>
    <row r="91">
      <c r="A91" s="22">
        <v>46275.0</v>
      </c>
      <c r="B91" s="2" t="s">
        <v>252</v>
      </c>
      <c r="C91" s="2" t="s">
        <v>35</v>
      </c>
      <c r="D91" s="2" t="s">
        <v>32</v>
      </c>
      <c r="E91" s="24">
        <v>1.0</v>
      </c>
      <c r="F91" s="24" t="s">
        <v>289</v>
      </c>
      <c r="G91" s="24" t="s">
        <v>35</v>
      </c>
      <c r="H91" s="61">
        <v>10584.0</v>
      </c>
      <c r="I91" s="29" t="str">
        <f t="shared" si="6"/>
        <v>10584-GSB-N/A</v>
      </c>
      <c r="J91" s="32"/>
      <c r="K91" s="24"/>
      <c r="L91" s="54"/>
      <c r="M91" s="33"/>
      <c r="N91" s="33"/>
      <c r="O91" s="33"/>
      <c r="P91" s="33"/>
    </row>
    <row r="92">
      <c r="A92" s="22">
        <v>46275.0</v>
      </c>
      <c r="B92" s="2" t="s">
        <v>252</v>
      </c>
      <c r="C92" s="2" t="s">
        <v>35</v>
      </c>
      <c r="D92" s="2" t="s">
        <v>32</v>
      </c>
      <c r="E92" s="24">
        <v>1.0</v>
      </c>
      <c r="F92" s="24" t="s">
        <v>290</v>
      </c>
      <c r="G92" s="24" t="s">
        <v>35</v>
      </c>
      <c r="H92" s="61">
        <v>10585.0</v>
      </c>
      <c r="I92" s="29" t="str">
        <f t="shared" si="6"/>
        <v>10585-GSB-N/A</v>
      </c>
      <c r="J92" s="32"/>
      <c r="K92" s="24"/>
      <c r="L92" s="54"/>
      <c r="M92" s="33"/>
      <c r="N92" s="33"/>
      <c r="O92" s="33"/>
      <c r="P92" s="33"/>
    </row>
    <row r="93">
      <c r="A93" s="22">
        <v>46275.0</v>
      </c>
      <c r="B93" s="2" t="s">
        <v>252</v>
      </c>
      <c r="C93" s="2" t="s">
        <v>35</v>
      </c>
      <c r="D93" s="2" t="s">
        <v>32</v>
      </c>
      <c r="E93" s="24">
        <v>1.0</v>
      </c>
      <c r="F93" s="24" t="s">
        <v>291</v>
      </c>
      <c r="G93" s="24" t="s">
        <v>35</v>
      </c>
      <c r="H93" s="61">
        <v>10586.0</v>
      </c>
      <c r="I93" s="29" t="str">
        <f t="shared" si="6"/>
        <v>10586-GSB-N/A</v>
      </c>
      <c r="J93" s="32"/>
      <c r="K93" s="24"/>
      <c r="L93" s="54"/>
      <c r="M93" s="33"/>
      <c r="N93" s="33"/>
      <c r="O93" s="33"/>
      <c r="P93" s="33"/>
    </row>
    <row r="94">
      <c r="A94" s="22">
        <v>46275.0</v>
      </c>
      <c r="B94" s="2" t="s">
        <v>252</v>
      </c>
      <c r="C94" s="2" t="s">
        <v>35</v>
      </c>
      <c r="D94" s="2" t="s">
        <v>32</v>
      </c>
      <c r="E94" s="24">
        <v>1.0</v>
      </c>
      <c r="F94" s="24" t="s">
        <v>295</v>
      </c>
      <c r="G94" s="24" t="s">
        <v>35</v>
      </c>
      <c r="H94" s="61">
        <v>10587.0</v>
      </c>
      <c r="I94" s="29" t="str">
        <f t="shared" si="6"/>
        <v>10587-GSB-N/A</v>
      </c>
      <c r="J94" s="32"/>
      <c r="K94" s="24"/>
      <c r="L94" s="54"/>
      <c r="M94" s="33"/>
      <c r="N94" s="33"/>
      <c r="O94" s="33"/>
      <c r="P94" s="33"/>
    </row>
    <row r="95">
      <c r="A95" s="22">
        <v>46275.0</v>
      </c>
      <c r="B95" s="2" t="s">
        <v>252</v>
      </c>
      <c r="C95" s="2" t="s">
        <v>35</v>
      </c>
      <c r="D95" s="2" t="s">
        <v>32</v>
      </c>
      <c r="E95" s="24">
        <v>1.0</v>
      </c>
      <c r="F95" s="24" t="s">
        <v>297</v>
      </c>
      <c r="G95" s="24" t="s">
        <v>35</v>
      </c>
      <c r="H95" s="61">
        <v>10588.0</v>
      </c>
      <c r="I95" s="29" t="str">
        <f t="shared" si="6"/>
        <v>10588-GSB-N/A</v>
      </c>
      <c r="J95" s="32"/>
      <c r="K95" s="24"/>
      <c r="L95" s="54"/>
      <c r="M95" s="33"/>
      <c r="N95" s="33"/>
      <c r="O95" s="33"/>
      <c r="P95" s="33"/>
    </row>
    <row r="96">
      <c r="A96" s="22">
        <v>46275.0</v>
      </c>
      <c r="B96" s="2" t="s">
        <v>252</v>
      </c>
      <c r="C96" s="2" t="s">
        <v>35</v>
      </c>
      <c r="D96" s="2" t="s">
        <v>32</v>
      </c>
      <c r="E96" s="24">
        <v>1.0</v>
      </c>
      <c r="F96" s="24" t="s">
        <v>298</v>
      </c>
      <c r="G96" s="24" t="s">
        <v>35</v>
      </c>
      <c r="H96" s="61">
        <v>10589.0</v>
      </c>
      <c r="I96" s="29" t="str">
        <f t="shared" si="6"/>
        <v>10589-GSB-N/A</v>
      </c>
      <c r="J96" s="32"/>
      <c r="K96" s="24"/>
      <c r="L96" s="54"/>
      <c r="M96" s="33"/>
      <c r="N96" s="33"/>
      <c r="O96" s="33"/>
      <c r="P96" s="33"/>
    </row>
    <row r="97">
      <c r="A97" s="22">
        <v>46275.0</v>
      </c>
      <c r="B97" s="2" t="s">
        <v>252</v>
      </c>
      <c r="C97" s="2" t="s">
        <v>35</v>
      </c>
      <c r="D97" s="2" t="s">
        <v>32</v>
      </c>
      <c r="E97" s="24">
        <v>1.0</v>
      </c>
      <c r="F97" s="24" t="s">
        <v>299</v>
      </c>
      <c r="G97" s="24" t="s">
        <v>35</v>
      </c>
      <c r="H97" s="61">
        <v>10590.0</v>
      </c>
      <c r="I97" s="29" t="str">
        <f t="shared" si="6"/>
        <v>10590-GSB-N/A</v>
      </c>
      <c r="J97" s="32"/>
      <c r="K97" s="24"/>
      <c r="L97" s="54"/>
      <c r="M97" s="33"/>
      <c r="N97" s="33"/>
      <c r="O97" s="33"/>
      <c r="P97" s="33"/>
    </row>
    <row r="98">
      <c r="A98" s="22">
        <v>46275.0</v>
      </c>
      <c r="B98" s="2" t="s">
        <v>252</v>
      </c>
      <c r="C98" s="2" t="s">
        <v>35</v>
      </c>
      <c r="D98" s="2" t="s">
        <v>32</v>
      </c>
      <c r="E98" s="24">
        <v>1.0</v>
      </c>
      <c r="F98" s="24" t="s">
        <v>300</v>
      </c>
      <c r="G98" s="24" t="s">
        <v>35</v>
      </c>
      <c r="H98" s="61">
        <v>10591.0</v>
      </c>
      <c r="I98" s="29" t="str">
        <f t="shared" si="6"/>
        <v>10591-GSB-N/A</v>
      </c>
      <c r="J98" s="32"/>
      <c r="K98" s="24"/>
      <c r="L98" s="54"/>
      <c r="M98" s="33"/>
      <c r="N98" s="33"/>
      <c r="O98" s="33"/>
      <c r="P98" s="33"/>
    </row>
    <row r="99">
      <c r="A99" s="22">
        <v>46275.0</v>
      </c>
      <c r="B99" s="2" t="s">
        <v>252</v>
      </c>
      <c r="C99" s="2" t="s">
        <v>35</v>
      </c>
      <c r="D99" s="2" t="s">
        <v>32</v>
      </c>
      <c r="E99" s="24">
        <v>1.0</v>
      </c>
      <c r="F99" s="24" t="s">
        <v>302</v>
      </c>
      <c r="G99" s="24" t="s">
        <v>35</v>
      </c>
      <c r="H99" s="61">
        <v>10592.0</v>
      </c>
      <c r="I99" s="29" t="str">
        <f t="shared" si="6"/>
        <v>10592-GSB-N/A</v>
      </c>
      <c r="J99" s="32"/>
      <c r="K99" s="24"/>
      <c r="L99" s="54"/>
      <c r="M99" s="33"/>
      <c r="N99" s="33"/>
      <c r="O99" s="33"/>
      <c r="P99" s="33"/>
    </row>
    <row r="100">
      <c r="A100" s="22">
        <v>46275.0</v>
      </c>
      <c r="B100" s="2" t="s">
        <v>252</v>
      </c>
      <c r="C100" s="2" t="s">
        <v>35</v>
      </c>
      <c r="D100" s="2" t="s">
        <v>32</v>
      </c>
      <c r="E100" s="24">
        <v>1.0</v>
      </c>
      <c r="F100" s="24" t="s">
        <v>304</v>
      </c>
      <c r="G100" s="24" t="s">
        <v>35</v>
      </c>
      <c r="H100" s="61">
        <v>10593.0</v>
      </c>
      <c r="I100" s="29" t="str">
        <f t="shared" si="6"/>
        <v>10593-GSB-N/A</v>
      </c>
      <c r="J100" s="32"/>
      <c r="K100" s="24"/>
      <c r="L100" s="54"/>
      <c r="M100" s="33"/>
      <c r="N100" s="33"/>
      <c r="O100" s="33"/>
      <c r="P100" s="33"/>
    </row>
    <row r="101">
      <c r="A101" s="22">
        <v>46275.0</v>
      </c>
      <c r="B101" s="2" t="s">
        <v>252</v>
      </c>
      <c r="C101" s="2" t="s">
        <v>35</v>
      </c>
      <c r="D101" s="2" t="s">
        <v>32</v>
      </c>
      <c r="E101" s="24">
        <v>1.0</v>
      </c>
      <c r="F101" s="24" t="s">
        <v>306</v>
      </c>
      <c r="G101" s="24" t="s">
        <v>35</v>
      </c>
      <c r="H101" s="61">
        <v>10594.0</v>
      </c>
      <c r="I101" s="29" t="str">
        <f t="shared" si="6"/>
        <v>10594-GSB-N/A</v>
      </c>
      <c r="J101" s="32"/>
      <c r="K101" s="24"/>
      <c r="L101" s="54"/>
      <c r="M101" s="33"/>
      <c r="N101" s="33"/>
      <c r="O101" s="33"/>
      <c r="P101" s="33"/>
    </row>
    <row r="102">
      <c r="A102" s="22">
        <v>46275.0</v>
      </c>
      <c r="B102" s="2" t="s">
        <v>252</v>
      </c>
      <c r="C102" s="2" t="s">
        <v>35</v>
      </c>
      <c r="D102" s="2" t="s">
        <v>32</v>
      </c>
      <c r="E102" s="24">
        <v>1.0</v>
      </c>
      <c r="F102" s="24" t="s">
        <v>308</v>
      </c>
      <c r="G102" s="24" t="s">
        <v>35</v>
      </c>
      <c r="H102" s="61">
        <v>10595.0</v>
      </c>
      <c r="I102" s="29" t="str">
        <f t="shared" si="6"/>
        <v>10595-GSB-N/A</v>
      </c>
      <c r="J102" s="32"/>
      <c r="K102" s="24"/>
      <c r="L102" s="54"/>
      <c r="M102" s="33"/>
      <c r="N102" s="33"/>
      <c r="O102" s="33"/>
      <c r="P102" s="33"/>
    </row>
    <row r="103">
      <c r="A103" s="22">
        <v>46275.0</v>
      </c>
      <c r="B103" s="2" t="s">
        <v>252</v>
      </c>
      <c r="C103" s="2" t="s">
        <v>35</v>
      </c>
      <c r="D103" s="2" t="s">
        <v>32</v>
      </c>
      <c r="E103" s="24">
        <v>1.0</v>
      </c>
      <c r="F103" s="24" t="s">
        <v>310</v>
      </c>
      <c r="G103" s="24" t="s">
        <v>35</v>
      </c>
      <c r="H103" s="61">
        <v>10596.0</v>
      </c>
      <c r="I103" s="29" t="str">
        <f t="shared" si="6"/>
        <v>10596-GSB-N/A</v>
      </c>
      <c r="J103" s="32"/>
      <c r="K103" s="24"/>
      <c r="L103" s="54"/>
      <c r="M103" s="33"/>
      <c r="N103" s="33"/>
      <c r="O103" s="33"/>
      <c r="P103" s="33"/>
    </row>
    <row r="104">
      <c r="A104" s="22">
        <v>46275.0</v>
      </c>
      <c r="B104" s="2" t="s">
        <v>252</v>
      </c>
      <c r="C104" s="2" t="s">
        <v>35</v>
      </c>
      <c r="D104" s="2" t="s">
        <v>32</v>
      </c>
      <c r="E104" s="24">
        <v>1.0</v>
      </c>
      <c r="F104" s="24" t="s">
        <v>312</v>
      </c>
      <c r="G104" s="24" t="s">
        <v>35</v>
      </c>
      <c r="H104" s="61">
        <v>10597.0</v>
      </c>
      <c r="I104" s="29" t="str">
        <f t="shared" si="6"/>
        <v>10597-GSB-N/A</v>
      </c>
      <c r="J104" s="32"/>
      <c r="K104" s="24"/>
      <c r="L104" s="54"/>
      <c r="M104" s="33"/>
      <c r="N104" s="33"/>
      <c r="O104" s="33"/>
      <c r="P104" s="33"/>
    </row>
    <row r="105">
      <c r="A105" s="22">
        <v>46275.0</v>
      </c>
      <c r="B105" s="2" t="s">
        <v>252</v>
      </c>
      <c r="C105" s="2" t="s">
        <v>35</v>
      </c>
      <c r="D105" s="2" t="s">
        <v>32</v>
      </c>
      <c r="E105" s="24">
        <v>1.0</v>
      </c>
      <c r="F105" s="24" t="s">
        <v>313</v>
      </c>
      <c r="G105" s="24" t="s">
        <v>35</v>
      </c>
      <c r="H105" s="61">
        <v>10598.0</v>
      </c>
      <c r="I105" s="29" t="str">
        <f t="shared" si="6"/>
        <v>10598-GSB-N/A</v>
      </c>
      <c r="J105" s="32"/>
      <c r="K105" s="24"/>
      <c r="L105" s="54"/>
      <c r="M105" s="33"/>
      <c r="N105" s="33"/>
      <c r="O105" s="33"/>
      <c r="P105" s="33"/>
    </row>
    <row r="106">
      <c r="A106" s="22">
        <v>46275.0</v>
      </c>
      <c r="B106" s="2" t="s">
        <v>252</v>
      </c>
      <c r="C106" s="2" t="s">
        <v>35</v>
      </c>
      <c r="D106" s="2" t="s">
        <v>32</v>
      </c>
      <c r="E106" s="24">
        <v>1.0</v>
      </c>
      <c r="F106" s="24" t="s">
        <v>315</v>
      </c>
      <c r="G106" s="24" t="s">
        <v>35</v>
      </c>
      <c r="H106" s="61">
        <v>10599.0</v>
      </c>
      <c r="I106" s="29" t="str">
        <f t="shared" si="6"/>
        <v>10599-GSB-N/A</v>
      </c>
      <c r="J106" s="32"/>
      <c r="K106" s="24"/>
      <c r="L106" s="54"/>
      <c r="M106" s="33"/>
      <c r="N106" s="33"/>
      <c r="O106" s="33"/>
      <c r="P106" s="33"/>
    </row>
    <row r="107">
      <c r="A107" s="22">
        <v>46275.0</v>
      </c>
      <c r="B107" s="2" t="s">
        <v>252</v>
      </c>
      <c r="C107" s="2" t="s">
        <v>35</v>
      </c>
      <c r="D107" s="2" t="s">
        <v>32</v>
      </c>
      <c r="E107" s="24">
        <v>1.0</v>
      </c>
      <c r="F107" s="24" t="s">
        <v>317</v>
      </c>
      <c r="G107" s="24" t="s">
        <v>35</v>
      </c>
      <c r="H107" s="61">
        <v>10600.0</v>
      </c>
      <c r="I107" s="29" t="str">
        <f t="shared" si="6"/>
        <v>10600-GSB-N/A</v>
      </c>
      <c r="J107" s="32"/>
      <c r="K107" s="24"/>
      <c r="L107" s="54"/>
      <c r="M107" s="33"/>
      <c r="N107" s="33"/>
      <c r="O107" s="33"/>
      <c r="P107" s="33"/>
    </row>
    <row r="108">
      <c r="A108" s="22">
        <v>46275.0</v>
      </c>
      <c r="B108" s="2" t="s">
        <v>252</v>
      </c>
      <c r="C108" s="2" t="s">
        <v>35</v>
      </c>
      <c r="D108" s="2" t="s">
        <v>32</v>
      </c>
      <c r="E108" s="24">
        <v>1.0</v>
      </c>
      <c r="F108" s="24" t="s">
        <v>318</v>
      </c>
      <c r="G108" s="24" t="s">
        <v>35</v>
      </c>
      <c r="H108" s="61">
        <v>10601.0</v>
      </c>
      <c r="I108" s="29" t="str">
        <f t="shared" si="6"/>
        <v>10601-GSB-N/A</v>
      </c>
      <c r="J108" s="32"/>
      <c r="K108" s="24"/>
      <c r="L108" s="54"/>
      <c r="M108" s="33"/>
      <c r="N108" s="33"/>
      <c r="O108" s="33"/>
      <c r="P108" s="33"/>
    </row>
    <row r="109">
      <c r="A109" s="22">
        <v>46275.0</v>
      </c>
      <c r="B109" s="2" t="s">
        <v>252</v>
      </c>
      <c r="C109" s="2" t="s">
        <v>35</v>
      </c>
      <c r="D109" s="2" t="s">
        <v>32</v>
      </c>
      <c r="E109" s="24">
        <v>1.0</v>
      </c>
      <c r="F109" s="24" t="s">
        <v>320</v>
      </c>
      <c r="G109" s="24" t="s">
        <v>35</v>
      </c>
      <c r="H109" s="61">
        <v>10602.0</v>
      </c>
      <c r="I109" s="29" t="str">
        <f t="shared" si="6"/>
        <v>10602-GSB-N/A</v>
      </c>
      <c r="J109" s="32"/>
      <c r="K109" s="24"/>
      <c r="L109" s="54"/>
      <c r="M109" s="33"/>
      <c r="N109" s="33"/>
      <c r="O109" s="33"/>
      <c r="P109" s="33"/>
    </row>
    <row r="110">
      <c r="A110" s="22">
        <v>46275.0</v>
      </c>
      <c r="B110" s="2" t="s">
        <v>252</v>
      </c>
      <c r="C110" s="2" t="s">
        <v>35</v>
      </c>
      <c r="D110" s="2" t="s">
        <v>32</v>
      </c>
      <c r="E110" s="24">
        <v>1.0</v>
      </c>
      <c r="F110" s="24" t="s">
        <v>321</v>
      </c>
      <c r="G110" s="24" t="s">
        <v>35</v>
      </c>
      <c r="H110" s="61">
        <v>10603.0</v>
      </c>
      <c r="I110" s="29" t="str">
        <f t="shared" si="6"/>
        <v>10603-GSB-N/A</v>
      </c>
      <c r="J110" s="32"/>
      <c r="K110" s="24"/>
      <c r="L110" s="54"/>
      <c r="M110" s="33"/>
      <c r="N110" s="33"/>
      <c r="O110" s="33"/>
      <c r="P110" s="33"/>
    </row>
    <row r="111">
      <c r="A111" s="22">
        <v>46275.0</v>
      </c>
      <c r="B111" s="2" t="s">
        <v>252</v>
      </c>
      <c r="C111" s="2" t="s">
        <v>35</v>
      </c>
      <c r="D111" s="2" t="s">
        <v>32</v>
      </c>
      <c r="E111" s="24">
        <v>1.0</v>
      </c>
      <c r="F111" s="24" t="s">
        <v>323</v>
      </c>
      <c r="G111" s="24" t="s">
        <v>35</v>
      </c>
      <c r="H111" s="61">
        <v>10604.0</v>
      </c>
      <c r="I111" s="29" t="str">
        <f t="shared" si="6"/>
        <v>10604-GSB-N/A</v>
      </c>
      <c r="J111" s="32"/>
      <c r="K111" s="24"/>
      <c r="L111" s="54"/>
      <c r="M111" s="33"/>
      <c r="N111" s="33"/>
      <c r="O111" s="33"/>
      <c r="P111" s="33"/>
    </row>
    <row r="112">
      <c r="A112" s="22">
        <v>46275.0</v>
      </c>
      <c r="B112" s="2" t="s">
        <v>252</v>
      </c>
      <c r="C112" s="2" t="s">
        <v>35</v>
      </c>
      <c r="D112" s="2" t="s">
        <v>32</v>
      </c>
      <c r="E112" s="24">
        <v>1.0</v>
      </c>
      <c r="F112" s="24" t="s">
        <v>324</v>
      </c>
      <c r="G112" s="24" t="s">
        <v>35</v>
      </c>
      <c r="H112" s="61">
        <v>10605.0</v>
      </c>
      <c r="I112" s="29" t="str">
        <f t="shared" si="6"/>
        <v>10605-GSB-N/A</v>
      </c>
      <c r="J112" s="32"/>
      <c r="K112" s="24"/>
      <c r="L112" s="54"/>
      <c r="M112" s="33"/>
      <c r="N112" s="33"/>
      <c r="O112" s="33"/>
      <c r="P112" s="33"/>
    </row>
    <row r="113">
      <c r="A113" s="22">
        <v>46275.0</v>
      </c>
      <c r="B113" s="2" t="s">
        <v>252</v>
      </c>
      <c r="C113" s="2" t="s">
        <v>35</v>
      </c>
      <c r="D113" s="2" t="s">
        <v>32</v>
      </c>
      <c r="E113" s="24">
        <v>1.0</v>
      </c>
      <c r="F113" s="24" t="s">
        <v>326</v>
      </c>
      <c r="G113" s="24" t="s">
        <v>35</v>
      </c>
      <c r="H113" s="61">
        <v>10606.0</v>
      </c>
      <c r="I113" s="29" t="str">
        <f t="shared" si="6"/>
        <v>10606-GSB-N/A</v>
      </c>
      <c r="J113" s="32"/>
      <c r="K113" s="24"/>
      <c r="L113" s="54"/>
      <c r="M113" s="33"/>
      <c r="N113" s="33"/>
      <c r="O113" s="33"/>
      <c r="P113" s="33"/>
    </row>
    <row r="114">
      <c r="A114" s="22">
        <v>46275.0</v>
      </c>
      <c r="B114" s="2" t="s">
        <v>252</v>
      </c>
      <c r="C114" s="2" t="s">
        <v>35</v>
      </c>
      <c r="D114" s="2" t="s">
        <v>32</v>
      </c>
      <c r="E114" s="24">
        <v>1.0</v>
      </c>
      <c r="F114" s="24" t="s">
        <v>330</v>
      </c>
      <c r="G114" s="24" t="s">
        <v>35</v>
      </c>
      <c r="H114" s="61">
        <v>10607.0</v>
      </c>
      <c r="I114" s="29" t="str">
        <f t="shared" si="6"/>
        <v>10607-GSB-N/A</v>
      </c>
      <c r="J114" s="32"/>
      <c r="K114" s="24"/>
      <c r="L114" s="54"/>
      <c r="M114" s="33"/>
      <c r="N114" s="33"/>
      <c r="O114" s="33"/>
      <c r="P114" s="33"/>
    </row>
    <row r="115">
      <c r="A115" s="22">
        <v>46275.0</v>
      </c>
      <c r="B115" s="2" t="s">
        <v>252</v>
      </c>
      <c r="C115" s="2" t="s">
        <v>35</v>
      </c>
      <c r="D115" s="2" t="s">
        <v>32</v>
      </c>
      <c r="E115" s="24">
        <v>1.0</v>
      </c>
      <c r="F115" s="24" t="s">
        <v>334</v>
      </c>
      <c r="G115" s="24" t="s">
        <v>35</v>
      </c>
      <c r="H115" s="61">
        <v>10608.0</v>
      </c>
      <c r="I115" s="29" t="str">
        <f t="shared" si="6"/>
        <v>10608-GSB-N/A</v>
      </c>
      <c r="J115" s="32"/>
      <c r="K115" s="24"/>
      <c r="L115" s="54"/>
      <c r="M115" s="33"/>
      <c r="N115" s="33"/>
      <c r="O115" s="33"/>
      <c r="P115" s="33"/>
    </row>
    <row r="116">
      <c r="A116" s="22">
        <v>46275.0</v>
      </c>
      <c r="B116" s="2" t="s">
        <v>252</v>
      </c>
      <c r="C116" s="2" t="s">
        <v>35</v>
      </c>
      <c r="D116" s="2" t="s">
        <v>32</v>
      </c>
      <c r="E116" s="24">
        <v>1.0</v>
      </c>
      <c r="F116" s="24" t="s">
        <v>339</v>
      </c>
      <c r="G116" s="24" t="s">
        <v>35</v>
      </c>
      <c r="H116" s="61">
        <v>10609.0</v>
      </c>
      <c r="I116" s="32" t="str">
        <f t="shared" si="6"/>
        <v>10609-GSB-N/A</v>
      </c>
      <c r="J116" s="32"/>
      <c r="K116" s="24"/>
      <c r="L116" s="54"/>
      <c r="M116" s="33"/>
      <c r="N116" s="33"/>
      <c r="O116" s="33"/>
      <c r="P116" s="33"/>
    </row>
    <row r="117">
      <c r="A117" s="22">
        <v>46275.0</v>
      </c>
      <c r="B117" s="2" t="s">
        <v>252</v>
      </c>
      <c r="C117" s="2" t="s">
        <v>35</v>
      </c>
      <c r="D117" s="2" t="s">
        <v>32</v>
      </c>
      <c r="E117" s="24">
        <v>1.0</v>
      </c>
      <c r="F117" s="24" t="s">
        <v>343</v>
      </c>
      <c r="G117" s="24" t="s">
        <v>35</v>
      </c>
      <c r="H117" s="61">
        <v>10610.0</v>
      </c>
      <c r="I117" s="32" t="str">
        <f t="shared" si="6"/>
        <v>10610-GSB-N/A</v>
      </c>
      <c r="J117" s="32"/>
      <c r="K117" s="24"/>
      <c r="L117" s="54"/>
      <c r="M117" s="33"/>
      <c r="N117" s="33"/>
      <c r="O117" s="33"/>
      <c r="P117" s="33"/>
    </row>
    <row r="118">
      <c r="A118" s="22">
        <v>46275.0</v>
      </c>
      <c r="B118" s="2" t="s">
        <v>252</v>
      </c>
      <c r="C118" s="2" t="s">
        <v>35</v>
      </c>
      <c r="D118" s="2" t="s">
        <v>32</v>
      </c>
      <c r="E118" s="24">
        <v>1.0</v>
      </c>
      <c r="F118" s="24" t="s">
        <v>347</v>
      </c>
      <c r="G118" s="24" t="s">
        <v>35</v>
      </c>
      <c r="H118" s="61">
        <v>10611.0</v>
      </c>
      <c r="I118" s="32" t="str">
        <f t="shared" si="6"/>
        <v>10611-GSB-N/A</v>
      </c>
      <c r="J118" s="32"/>
      <c r="K118" s="24"/>
      <c r="L118" s="54"/>
      <c r="M118" s="33"/>
      <c r="N118" s="33"/>
      <c r="O118" s="33"/>
      <c r="P118" s="33"/>
    </row>
    <row r="119">
      <c r="A119" s="22">
        <v>46275.0</v>
      </c>
      <c r="B119" s="2" t="s">
        <v>252</v>
      </c>
      <c r="C119" s="2" t="s">
        <v>35</v>
      </c>
      <c r="D119" s="2" t="s">
        <v>32</v>
      </c>
      <c r="E119" s="24">
        <v>1.0</v>
      </c>
      <c r="F119" s="24" t="s">
        <v>350</v>
      </c>
      <c r="G119" s="24" t="s">
        <v>35</v>
      </c>
      <c r="H119" s="61">
        <v>10612.0</v>
      </c>
      <c r="I119" s="32" t="str">
        <f t="shared" si="6"/>
        <v>10612-GSB-N/A</v>
      </c>
      <c r="J119" s="32"/>
      <c r="K119" s="24"/>
      <c r="L119" s="54"/>
      <c r="M119" s="33"/>
      <c r="N119" s="33"/>
      <c r="O119" s="33"/>
      <c r="P119" s="33"/>
    </row>
    <row r="120">
      <c r="A120" s="22">
        <v>46275.0</v>
      </c>
      <c r="B120" s="2" t="s">
        <v>252</v>
      </c>
      <c r="C120" s="2" t="s">
        <v>35</v>
      </c>
      <c r="D120" s="2" t="s">
        <v>32</v>
      </c>
      <c r="E120" s="24">
        <v>1.0</v>
      </c>
      <c r="F120" s="24" t="s">
        <v>353</v>
      </c>
      <c r="G120" s="24" t="s">
        <v>35</v>
      </c>
      <c r="H120" s="61">
        <v>10613.0</v>
      </c>
      <c r="I120" s="32" t="str">
        <f t="shared" si="6"/>
        <v>10613-GSB-N/A</v>
      </c>
      <c r="J120" s="32"/>
      <c r="K120" s="24"/>
      <c r="L120" s="54"/>
      <c r="M120" s="33"/>
      <c r="N120" s="33"/>
      <c r="O120" s="33"/>
      <c r="P120" s="33"/>
    </row>
    <row r="121">
      <c r="A121" s="22">
        <v>46275.0</v>
      </c>
      <c r="B121" s="2" t="s">
        <v>252</v>
      </c>
      <c r="C121" s="2" t="s">
        <v>35</v>
      </c>
      <c r="D121" s="2" t="s">
        <v>32</v>
      </c>
      <c r="E121" s="24">
        <v>1.0</v>
      </c>
      <c r="F121" s="24" t="s">
        <v>358</v>
      </c>
      <c r="G121" s="24" t="s">
        <v>35</v>
      </c>
      <c r="H121" s="61">
        <v>10614.0</v>
      </c>
      <c r="I121" s="32" t="str">
        <f t="shared" si="6"/>
        <v>10614-GSB-N/A</v>
      </c>
      <c r="J121" s="32"/>
      <c r="K121" s="24"/>
      <c r="L121" s="54"/>
      <c r="M121" s="33"/>
      <c r="N121" s="33"/>
      <c r="O121" s="33"/>
      <c r="P121" s="33"/>
    </row>
    <row r="122">
      <c r="A122" s="22">
        <v>46275.0</v>
      </c>
      <c r="B122" s="2" t="s">
        <v>252</v>
      </c>
      <c r="C122" s="2" t="s">
        <v>35</v>
      </c>
      <c r="D122" s="2" t="s">
        <v>32</v>
      </c>
      <c r="E122" s="24">
        <v>1.0</v>
      </c>
      <c r="F122" s="24" t="s">
        <v>359</v>
      </c>
      <c r="G122" s="24" t="s">
        <v>35</v>
      </c>
      <c r="H122" s="61">
        <v>10615.0</v>
      </c>
      <c r="I122" s="32" t="str">
        <f t="shared" si="6"/>
        <v>10615-GSB-N/A</v>
      </c>
      <c r="J122" s="32"/>
      <c r="K122" s="24"/>
      <c r="L122" s="54"/>
      <c r="M122" s="33"/>
      <c r="N122" s="33"/>
      <c r="O122" s="33"/>
      <c r="P122" s="33"/>
    </row>
    <row r="123">
      <c r="A123" s="22">
        <v>46275.0</v>
      </c>
      <c r="B123" s="2" t="s">
        <v>252</v>
      </c>
      <c r="C123" s="2" t="s">
        <v>35</v>
      </c>
      <c r="D123" s="2" t="s">
        <v>32</v>
      </c>
      <c r="E123" s="24">
        <v>1.0</v>
      </c>
      <c r="F123" s="24" t="s">
        <v>361</v>
      </c>
      <c r="G123" s="24" t="s">
        <v>35</v>
      </c>
      <c r="H123" s="61">
        <v>10616.0</v>
      </c>
      <c r="I123" s="32" t="str">
        <f t="shared" si="6"/>
        <v>10616-GSB-N/A</v>
      </c>
      <c r="J123" s="32"/>
      <c r="K123" s="24"/>
      <c r="L123" s="54"/>
      <c r="M123" s="33"/>
      <c r="N123" s="33"/>
      <c r="O123" s="33"/>
      <c r="P123" s="33"/>
    </row>
    <row r="124">
      <c r="A124" s="22">
        <v>46275.0</v>
      </c>
      <c r="B124" s="2" t="s">
        <v>252</v>
      </c>
      <c r="C124" s="2" t="s">
        <v>35</v>
      </c>
      <c r="D124" s="2" t="s">
        <v>32</v>
      </c>
      <c r="E124" s="24">
        <v>1.0</v>
      </c>
      <c r="F124" s="24" t="s">
        <v>364</v>
      </c>
      <c r="G124" s="24" t="s">
        <v>35</v>
      </c>
      <c r="H124" s="61">
        <v>10617.0</v>
      </c>
      <c r="I124" s="32" t="str">
        <f t="shared" si="6"/>
        <v>10617-GSB-N/A</v>
      </c>
      <c r="J124" s="32"/>
      <c r="K124" s="24"/>
      <c r="L124" s="54"/>
      <c r="M124" s="33"/>
      <c r="N124" s="33"/>
      <c r="O124" s="33"/>
      <c r="P124" s="33"/>
    </row>
    <row r="125">
      <c r="A125" s="22">
        <v>46275.0</v>
      </c>
      <c r="B125" s="2" t="s">
        <v>252</v>
      </c>
      <c r="C125" s="2" t="s">
        <v>35</v>
      </c>
      <c r="D125" s="2" t="s">
        <v>32</v>
      </c>
      <c r="E125" s="24">
        <v>1.0</v>
      </c>
      <c r="F125" s="24" t="s">
        <v>367</v>
      </c>
      <c r="G125" s="24" t="s">
        <v>35</v>
      </c>
      <c r="H125" s="61">
        <v>10618.0</v>
      </c>
      <c r="I125" s="32" t="str">
        <f t="shared" si="6"/>
        <v>10618-GSB-N/A</v>
      </c>
      <c r="J125" s="32"/>
      <c r="K125" s="24"/>
      <c r="L125" s="54"/>
      <c r="M125" s="33"/>
      <c r="N125" s="33"/>
      <c r="O125" s="33"/>
      <c r="P125" s="33"/>
    </row>
    <row r="126">
      <c r="A126" s="22">
        <v>46275.0</v>
      </c>
      <c r="B126" s="2" t="s">
        <v>252</v>
      </c>
      <c r="C126" s="2" t="s">
        <v>35</v>
      </c>
      <c r="D126" s="2" t="s">
        <v>32</v>
      </c>
      <c r="E126" s="24">
        <v>1.0</v>
      </c>
      <c r="F126" s="24" t="s">
        <v>370</v>
      </c>
      <c r="G126" s="24" t="s">
        <v>35</v>
      </c>
      <c r="H126" s="61">
        <v>10619.0</v>
      </c>
      <c r="I126" s="32" t="str">
        <f t="shared" si="6"/>
        <v>10619-GSB-N/A</v>
      </c>
      <c r="J126" s="32"/>
      <c r="K126" s="24"/>
      <c r="L126" s="54"/>
      <c r="M126" s="33"/>
      <c r="N126" s="33"/>
      <c r="O126" s="33"/>
      <c r="P126" s="33"/>
    </row>
    <row r="127">
      <c r="A127" s="22">
        <v>46275.0</v>
      </c>
      <c r="B127" s="2" t="s">
        <v>252</v>
      </c>
      <c r="C127" s="2" t="s">
        <v>35</v>
      </c>
      <c r="D127" s="2" t="s">
        <v>32</v>
      </c>
      <c r="E127" s="24">
        <v>1.0</v>
      </c>
      <c r="F127" s="24" t="s">
        <v>373</v>
      </c>
      <c r="G127" s="24" t="s">
        <v>35</v>
      </c>
      <c r="H127" s="61">
        <v>10620.0</v>
      </c>
      <c r="I127" s="32" t="str">
        <f t="shared" si="6"/>
        <v>10620-GSB-N/A</v>
      </c>
      <c r="J127" s="32"/>
      <c r="K127" s="24"/>
      <c r="L127" s="54"/>
      <c r="M127" s="33"/>
      <c r="N127" s="33"/>
      <c r="O127" s="33"/>
      <c r="P127" s="33"/>
    </row>
    <row r="128">
      <c r="A128" s="22">
        <v>46275.0</v>
      </c>
      <c r="B128" s="2" t="s">
        <v>252</v>
      </c>
      <c r="C128" s="2" t="s">
        <v>35</v>
      </c>
      <c r="D128" s="2" t="s">
        <v>32</v>
      </c>
      <c r="E128" s="24">
        <v>1.0</v>
      </c>
      <c r="F128" s="24" t="s">
        <v>376</v>
      </c>
      <c r="G128" s="24" t="s">
        <v>35</v>
      </c>
      <c r="H128" s="61">
        <v>10621.0</v>
      </c>
      <c r="I128" s="32" t="str">
        <f t="shared" si="6"/>
        <v>10621-GSB-N/A</v>
      </c>
      <c r="J128" s="32"/>
      <c r="K128" s="24"/>
      <c r="L128" s="54"/>
      <c r="M128" s="33"/>
      <c r="N128" s="33"/>
      <c r="O128" s="33"/>
      <c r="P128" s="33"/>
    </row>
    <row r="129">
      <c r="A129" s="22">
        <v>46275.0</v>
      </c>
      <c r="B129" s="2" t="s">
        <v>252</v>
      </c>
      <c r="C129" s="2" t="s">
        <v>35</v>
      </c>
      <c r="D129" s="2" t="s">
        <v>32</v>
      </c>
      <c r="E129" s="24">
        <v>1.0</v>
      </c>
      <c r="F129" s="24" t="s">
        <v>377</v>
      </c>
      <c r="G129" s="24" t="s">
        <v>35</v>
      </c>
      <c r="H129" s="61">
        <v>10622.0</v>
      </c>
      <c r="I129" s="32" t="str">
        <f t="shared" si="6"/>
        <v>10622-GSB-N/A</v>
      </c>
      <c r="J129" s="32"/>
      <c r="K129" s="24"/>
      <c r="L129" s="54"/>
      <c r="M129" s="33"/>
      <c r="N129" s="33"/>
      <c r="O129" s="33"/>
      <c r="P129" s="33"/>
    </row>
    <row r="130">
      <c r="A130" s="22">
        <v>46275.0</v>
      </c>
      <c r="B130" s="2" t="s">
        <v>252</v>
      </c>
      <c r="C130" s="2" t="s">
        <v>35</v>
      </c>
      <c r="D130" s="2" t="s">
        <v>32</v>
      </c>
      <c r="E130" s="24">
        <v>1.0</v>
      </c>
      <c r="F130" s="24" t="s">
        <v>378</v>
      </c>
      <c r="G130" s="24" t="s">
        <v>35</v>
      </c>
      <c r="H130" s="61">
        <v>10623.0</v>
      </c>
      <c r="I130" s="32" t="str">
        <f t="shared" si="6"/>
        <v>10623-GSB-N/A</v>
      </c>
      <c r="J130" s="32"/>
      <c r="K130" s="24"/>
      <c r="L130" s="54"/>
      <c r="M130" s="33"/>
      <c r="N130" s="33"/>
      <c r="O130" s="33"/>
      <c r="P130" s="33"/>
    </row>
    <row r="131">
      <c r="A131" s="22">
        <v>46275.0</v>
      </c>
      <c r="B131" s="2" t="s">
        <v>252</v>
      </c>
      <c r="C131" s="2" t="s">
        <v>35</v>
      </c>
      <c r="D131" s="2" t="s">
        <v>32</v>
      </c>
      <c r="E131" s="24">
        <v>1.0</v>
      </c>
      <c r="F131" s="24" t="s">
        <v>379</v>
      </c>
      <c r="G131" s="24" t="s">
        <v>35</v>
      </c>
      <c r="H131" s="61">
        <v>10624.0</v>
      </c>
      <c r="I131" s="32" t="str">
        <f t="shared" si="6"/>
        <v>10624-GSB-N/A</v>
      </c>
      <c r="J131" s="32"/>
      <c r="K131" s="24"/>
      <c r="L131" s="54"/>
      <c r="M131" s="33"/>
      <c r="N131" s="33"/>
      <c r="O131" s="33"/>
      <c r="P131" s="33"/>
    </row>
    <row r="132">
      <c r="A132" s="22">
        <v>46275.0</v>
      </c>
      <c r="B132" s="2" t="s">
        <v>252</v>
      </c>
      <c r="C132" s="2" t="s">
        <v>35</v>
      </c>
      <c r="D132" s="2" t="s">
        <v>32</v>
      </c>
      <c r="E132" s="24">
        <v>1.0</v>
      </c>
      <c r="F132" s="24" t="s">
        <v>380</v>
      </c>
      <c r="G132" s="24" t="s">
        <v>35</v>
      </c>
      <c r="H132" s="61">
        <v>10625.0</v>
      </c>
      <c r="I132" s="32" t="str">
        <f t="shared" si="6"/>
        <v>10625-GSB-N/A</v>
      </c>
      <c r="J132" s="32"/>
      <c r="K132" s="24"/>
      <c r="L132" s="54"/>
      <c r="M132" s="33"/>
      <c r="N132" s="33"/>
      <c r="O132" s="33"/>
      <c r="P132" s="33"/>
    </row>
    <row r="133">
      <c r="A133" s="22">
        <v>46275.0</v>
      </c>
      <c r="B133" s="2" t="s">
        <v>252</v>
      </c>
      <c r="C133" s="2" t="s">
        <v>35</v>
      </c>
      <c r="D133" s="2" t="s">
        <v>32</v>
      </c>
      <c r="E133" s="24">
        <v>1.0</v>
      </c>
      <c r="F133" s="24" t="s">
        <v>382</v>
      </c>
      <c r="G133" s="24" t="s">
        <v>35</v>
      </c>
      <c r="H133" s="61">
        <v>10626.0</v>
      </c>
      <c r="I133" s="32" t="str">
        <f t="shared" si="6"/>
        <v>10626-GSB-N/A</v>
      </c>
      <c r="J133" s="32"/>
      <c r="K133" s="24"/>
      <c r="L133" s="54"/>
      <c r="M133" s="33"/>
      <c r="N133" s="33"/>
      <c r="O133" s="33"/>
      <c r="P133" s="33"/>
    </row>
    <row r="134">
      <c r="A134" s="22">
        <v>46275.0</v>
      </c>
      <c r="B134" s="2" t="s">
        <v>252</v>
      </c>
      <c r="C134" s="2" t="s">
        <v>35</v>
      </c>
      <c r="D134" s="2" t="s">
        <v>32</v>
      </c>
      <c r="E134" s="24">
        <v>1.0</v>
      </c>
      <c r="F134" s="24" t="s">
        <v>384</v>
      </c>
      <c r="G134" s="24" t="s">
        <v>35</v>
      </c>
      <c r="H134" s="61">
        <v>10627.0</v>
      </c>
      <c r="I134" s="32" t="str">
        <f t="shared" si="6"/>
        <v>10627-GSB-N/A</v>
      </c>
      <c r="J134" s="32"/>
      <c r="K134" s="24"/>
      <c r="L134" s="54"/>
      <c r="M134" s="33"/>
      <c r="N134" s="33"/>
      <c r="O134" s="33"/>
      <c r="P134" s="33"/>
    </row>
    <row r="135">
      <c r="A135" s="22">
        <v>46275.0</v>
      </c>
      <c r="B135" s="2" t="s">
        <v>252</v>
      </c>
      <c r="C135" s="2" t="s">
        <v>35</v>
      </c>
      <c r="D135" s="2" t="s">
        <v>32</v>
      </c>
      <c r="E135" s="24">
        <v>1.0</v>
      </c>
      <c r="F135" s="24" t="s">
        <v>388</v>
      </c>
      <c r="G135" s="24" t="s">
        <v>35</v>
      </c>
      <c r="H135" s="61">
        <v>10628.0</v>
      </c>
      <c r="I135" s="32" t="str">
        <f t="shared" si="6"/>
        <v>10628-GSB-N/A</v>
      </c>
      <c r="J135" s="32"/>
      <c r="K135" s="24"/>
      <c r="L135" s="54"/>
      <c r="M135" s="33"/>
      <c r="N135" s="33"/>
      <c r="O135" s="33"/>
      <c r="P135" s="33"/>
    </row>
    <row r="136">
      <c r="A136" s="22">
        <v>46275.0</v>
      </c>
      <c r="B136" s="2" t="s">
        <v>252</v>
      </c>
      <c r="C136" s="2" t="s">
        <v>35</v>
      </c>
      <c r="D136" s="2" t="s">
        <v>32</v>
      </c>
      <c r="E136" s="24">
        <v>1.0</v>
      </c>
      <c r="F136" s="24" t="s">
        <v>390</v>
      </c>
      <c r="G136" s="24" t="s">
        <v>35</v>
      </c>
      <c r="H136" s="61">
        <v>10629.0</v>
      </c>
      <c r="I136" s="32" t="str">
        <f t="shared" si="6"/>
        <v>10629-GSB-N/A</v>
      </c>
      <c r="J136" s="32"/>
      <c r="K136" s="24"/>
      <c r="L136" s="54"/>
      <c r="M136" s="33"/>
      <c r="N136" s="33"/>
      <c r="O136" s="33"/>
      <c r="P136" s="33"/>
    </row>
    <row r="137">
      <c r="A137" s="22">
        <v>46275.0</v>
      </c>
      <c r="B137" s="2" t="s">
        <v>252</v>
      </c>
      <c r="C137" s="2" t="s">
        <v>35</v>
      </c>
      <c r="D137" s="2" t="s">
        <v>32</v>
      </c>
      <c r="E137" s="24">
        <v>1.0</v>
      </c>
      <c r="F137" s="24" t="s">
        <v>392</v>
      </c>
      <c r="G137" s="24" t="s">
        <v>35</v>
      </c>
      <c r="H137" s="61">
        <v>10630.0</v>
      </c>
      <c r="I137" s="32" t="str">
        <f t="shared" si="6"/>
        <v>10630-GSB-N/A</v>
      </c>
      <c r="J137" s="32"/>
      <c r="K137" s="24"/>
      <c r="L137" s="54"/>
      <c r="M137" s="33"/>
      <c r="N137" s="33"/>
      <c r="O137" s="33"/>
      <c r="P137" s="33"/>
    </row>
    <row r="138">
      <c r="A138" s="22">
        <v>46275.0</v>
      </c>
      <c r="B138" s="2" t="s">
        <v>252</v>
      </c>
      <c r="C138" s="2" t="s">
        <v>35</v>
      </c>
      <c r="D138" s="2" t="s">
        <v>32</v>
      </c>
      <c r="E138" s="24">
        <v>1.0</v>
      </c>
      <c r="F138" s="24" t="s">
        <v>395</v>
      </c>
      <c r="G138" s="24" t="s">
        <v>35</v>
      </c>
      <c r="H138" s="61">
        <v>10631.0</v>
      </c>
      <c r="I138" s="32" t="str">
        <f t="shared" si="6"/>
        <v>10631-GSB-N/A</v>
      </c>
      <c r="J138" s="32"/>
      <c r="K138" s="24"/>
      <c r="L138" s="54"/>
      <c r="M138" s="33"/>
      <c r="N138" s="33"/>
      <c r="O138" s="33"/>
      <c r="P138" s="33"/>
    </row>
    <row r="139">
      <c r="A139" s="22">
        <v>46275.0</v>
      </c>
      <c r="B139" s="2" t="s">
        <v>252</v>
      </c>
      <c r="C139" s="2" t="s">
        <v>35</v>
      </c>
      <c r="D139" s="2" t="s">
        <v>32</v>
      </c>
      <c r="E139" s="24">
        <v>1.0</v>
      </c>
      <c r="F139" s="24" t="s">
        <v>397</v>
      </c>
      <c r="G139" s="24" t="s">
        <v>35</v>
      </c>
      <c r="H139" s="61">
        <v>10632.0</v>
      </c>
      <c r="I139" s="32" t="str">
        <f t="shared" si="6"/>
        <v>10632-GSB-N/A</v>
      </c>
      <c r="J139" s="32"/>
      <c r="K139" s="24"/>
      <c r="L139" s="54"/>
      <c r="M139" s="33"/>
      <c r="N139" s="33"/>
      <c r="O139" s="33"/>
      <c r="P139" s="33"/>
    </row>
    <row r="140">
      <c r="A140" s="22">
        <v>46275.0</v>
      </c>
      <c r="B140" s="2" t="s">
        <v>252</v>
      </c>
      <c r="C140" s="2" t="s">
        <v>35</v>
      </c>
      <c r="D140" s="2" t="s">
        <v>32</v>
      </c>
      <c r="E140" s="24">
        <v>1.0</v>
      </c>
      <c r="F140" s="24" t="s">
        <v>399</v>
      </c>
      <c r="G140" s="24" t="s">
        <v>35</v>
      </c>
      <c r="H140" s="61">
        <v>10633.0</v>
      </c>
      <c r="I140" s="32" t="str">
        <f t="shared" si="6"/>
        <v>10633-GSB-N/A</v>
      </c>
      <c r="J140" s="32"/>
      <c r="K140" s="24"/>
      <c r="L140" s="54"/>
      <c r="M140" s="33"/>
      <c r="N140" s="33"/>
      <c r="O140" s="33"/>
      <c r="P140" s="33"/>
    </row>
    <row r="141">
      <c r="A141" s="22">
        <v>46275.0</v>
      </c>
      <c r="B141" s="2" t="s">
        <v>252</v>
      </c>
      <c r="C141" s="2" t="s">
        <v>35</v>
      </c>
      <c r="D141" s="2" t="s">
        <v>32</v>
      </c>
      <c r="E141" s="24">
        <v>1.0</v>
      </c>
      <c r="F141" s="24" t="s">
        <v>401</v>
      </c>
      <c r="G141" s="24" t="s">
        <v>35</v>
      </c>
      <c r="H141" s="61">
        <v>10634.0</v>
      </c>
      <c r="I141" s="32" t="str">
        <f t="shared" si="6"/>
        <v>10634-GSB-N/A</v>
      </c>
      <c r="J141" s="32"/>
      <c r="K141" s="24"/>
      <c r="L141" s="54"/>
      <c r="M141" s="33"/>
      <c r="N141" s="33"/>
      <c r="O141" s="33"/>
      <c r="P141" s="33"/>
    </row>
    <row r="142">
      <c r="A142" s="22">
        <v>46275.0</v>
      </c>
      <c r="B142" s="2" t="s">
        <v>252</v>
      </c>
      <c r="C142" s="2" t="s">
        <v>35</v>
      </c>
      <c r="D142" s="2" t="s">
        <v>32</v>
      </c>
      <c r="E142" s="24">
        <v>1.0</v>
      </c>
      <c r="F142" s="24" t="s">
        <v>402</v>
      </c>
      <c r="G142" s="24" t="s">
        <v>35</v>
      </c>
      <c r="H142" s="61">
        <v>10637.0</v>
      </c>
      <c r="I142" s="32" t="str">
        <f t="shared" si="6"/>
        <v>10637-GSB-N/A</v>
      </c>
      <c r="J142" s="32"/>
      <c r="K142" s="24"/>
      <c r="L142" s="54"/>
      <c r="M142" s="33"/>
      <c r="N142" s="33"/>
      <c r="O142" s="33"/>
      <c r="P142" s="33"/>
    </row>
    <row r="143">
      <c r="A143" s="22">
        <v>46275.0</v>
      </c>
      <c r="B143" s="2" t="s">
        <v>34</v>
      </c>
      <c r="C143" s="2" t="s">
        <v>35</v>
      </c>
      <c r="D143" s="2" t="s">
        <v>33</v>
      </c>
      <c r="E143" s="24">
        <v>1.0</v>
      </c>
      <c r="F143" s="24" t="s">
        <v>35</v>
      </c>
      <c r="G143" s="24" t="s">
        <v>35</v>
      </c>
      <c r="H143" s="24" t="s">
        <v>35</v>
      </c>
      <c r="I143" s="32" t="str">
        <f t="shared" si="6"/>
        <v>N/A-GSB-N/A</v>
      </c>
      <c r="J143" s="32"/>
      <c r="K143" s="24"/>
      <c r="L143" s="54"/>
      <c r="M143" s="33"/>
      <c r="N143" s="33"/>
      <c r="O143" s="33"/>
      <c r="P143" s="33"/>
    </row>
    <row r="144">
      <c r="A144" s="22">
        <v>46275.0</v>
      </c>
      <c r="B144" s="2" t="s">
        <v>34</v>
      </c>
      <c r="C144" s="2" t="s">
        <v>35</v>
      </c>
      <c r="D144" s="2" t="s">
        <v>33</v>
      </c>
      <c r="E144" s="24">
        <v>1.0</v>
      </c>
      <c r="F144" s="24" t="s">
        <v>35</v>
      </c>
      <c r="G144" s="24" t="s">
        <v>35</v>
      </c>
      <c r="H144" s="24" t="s">
        <v>35</v>
      </c>
      <c r="I144" s="32" t="str">
        <f t="shared" si="6"/>
        <v>N/A-GSB-N/A</v>
      </c>
      <c r="J144" s="32"/>
      <c r="K144" s="24"/>
      <c r="L144" s="54"/>
      <c r="M144" s="33"/>
      <c r="N144" s="33"/>
      <c r="O144" s="33"/>
      <c r="P144" s="33"/>
    </row>
    <row r="145">
      <c r="A145" s="22">
        <v>46275.0</v>
      </c>
      <c r="B145" s="2" t="s">
        <v>34</v>
      </c>
      <c r="C145" s="2" t="s">
        <v>35</v>
      </c>
      <c r="D145" s="2" t="s">
        <v>33</v>
      </c>
      <c r="E145" s="24">
        <v>1.0</v>
      </c>
      <c r="F145" s="24" t="s">
        <v>35</v>
      </c>
      <c r="G145" s="24" t="s">
        <v>35</v>
      </c>
      <c r="H145" s="24" t="s">
        <v>35</v>
      </c>
      <c r="I145" s="32" t="str">
        <f t="shared" si="6"/>
        <v>N/A-GSB-N/A</v>
      </c>
      <c r="J145" s="32"/>
      <c r="K145" s="24"/>
      <c r="L145" s="54"/>
      <c r="M145" s="33"/>
      <c r="N145" s="33"/>
      <c r="O145" s="33"/>
      <c r="P145" s="33"/>
    </row>
    <row r="146">
      <c r="A146" s="22">
        <v>46275.0</v>
      </c>
      <c r="B146" s="2" t="s">
        <v>34</v>
      </c>
      <c r="C146" s="2" t="s">
        <v>35</v>
      </c>
      <c r="D146" s="2" t="s">
        <v>33</v>
      </c>
      <c r="E146" s="24">
        <v>1.0</v>
      </c>
      <c r="F146" s="24" t="s">
        <v>35</v>
      </c>
      <c r="G146" s="24" t="s">
        <v>35</v>
      </c>
      <c r="H146" s="24" t="s">
        <v>35</v>
      </c>
      <c r="I146" s="32" t="str">
        <f t="shared" si="6"/>
        <v>N/A-GSB-N/A</v>
      </c>
      <c r="J146" s="32"/>
      <c r="K146" s="24"/>
      <c r="L146" s="54"/>
      <c r="M146" s="33"/>
      <c r="N146" s="33"/>
      <c r="O146" s="33"/>
      <c r="P146" s="33"/>
    </row>
    <row r="147">
      <c r="A147" s="22">
        <v>46275.0</v>
      </c>
      <c r="B147" s="2" t="s">
        <v>34</v>
      </c>
      <c r="C147" s="2" t="s">
        <v>35</v>
      </c>
      <c r="D147" s="2" t="s">
        <v>33</v>
      </c>
      <c r="E147" s="24">
        <v>1.0</v>
      </c>
      <c r="F147" s="24" t="s">
        <v>35</v>
      </c>
      <c r="G147" s="24" t="s">
        <v>35</v>
      </c>
      <c r="H147" s="24" t="s">
        <v>35</v>
      </c>
      <c r="I147" s="32" t="str">
        <f t="shared" si="6"/>
        <v>N/A-GSB-N/A</v>
      </c>
      <c r="J147" s="32"/>
      <c r="K147" s="24"/>
      <c r="L147" s="54"/>
      <c r="M147" s="33"/>
      <c r="N147" s="33"/>
      <c r="O147" s="33"/>
      <c r="P147" s="33"/>
    </row>
    <row r="148">
      <c r="A148" s="22">
        <v>46275.0</v>
      </c>
      <c r="B148" s="2" t="s">
        <v>34</v>
      </c>
      <c r="C148" s="2" t="s">
        <v>35</v>
      </c>
      <c r="D148" s="2" t="s">
        <v>33</v>
      </c>
      <c r="E148" s="24">
        <v>1.0</v>
      </c>
      <c r="F148" s="24" t="s">
        <v>35</v>
      </c>
      <c r="G148" s="24" t="s">
        <v>35</v>
      </c>
      <c r="H148" s="24" t="s">
        <v>35</v>
      </c>
      <c r="I148" s="32" t="str">
        <f t="shared" si="6"/>
        <v>N/A-GSB-N/A</v>
      </c>
      <c r="J148" s="32"/>
      <c r="K148" s="24"/>
      <c r="L148" s="54"/>
      <c r="M148" s="33"/>
      <c r="N148" s="33"/>
      <c r="O148" s="33"/>
      <c r="P148" s="33"/>
    </row>
    <row r="149">
      <c r="A149" s="22">
        <v>46275.0</v>
      </c>
      <c r="B149" s="2" t="s">
        <v>34</v>
      </c>
      <c r="C149" s="2" t="s">
        <v>35</v>
      </c>
      <c r="D149" s="2" t="s">
        <v>33</v>
      </c>
      <c r="E149" s="24">
        <v>1.0</v>
      </c>
      <c r="F149" s="24" t="s">
        <v>35</v>
      </c>
      <c r="G149" s="24" t="s">
        <v>35</v>
      </c>
      <c r="H149" s="24" t="s">
        <v>35</v>
      </c>
      <c r="I149" s="32" t="str">
        <f t="shared" si="6"/>
        <v>N/A-GSB-N/A</v>
      </c>
      <c r="J149" s="32"/>
      <c r="K149" s="24"/>
      <c r="L149" s="54"/>
      <c r="M149" s="33"/>
      <c r="N149" s="33"/>
      <c r="O149" s="33"/>
      <c r="P149" s="33"/>
    </row>
    <row r="150">
      <c r="A150" s="22">
        <v>46275.0</v>
      </c>
      <c r="B150" s="2" t="s">
        <v>34</v>
      </c>
      <c r="C150" s="2" t="s">
        <v>35</v>
      </c>
      <c r="D150" s="2" t="s">
        <v>33</v>
      </c>
      <c r="E150" s="24">
        <v>1.0</v>
      </c>
      <c r="F150" s="24" t="s">
        <v>35</v>
      </c>
      <c r="G150" s="24" t="s">
        <v>35</v>
      </c>
      <c r="H150" s="24" t="s">
        <v>35</v>
      </c>
      <c r="I150" s="32" t="str">
        <f t="shared" si="6"/>
        <v>N/A-GSB-N/A</v>
      </c>
      <c r="J150" s="32"/>
      <c r="K150" s="24"/>
      <c r="L150" s="54"/>
      <c r="M150" s="33"/>
      <c r="N150" s="33"/>
      <c r="O150" s="33"/>
      <c r="P150" s="33"/>
    </row>
    <row r="151">
      <c r="A151" s="22">
        <v>46275.0</v>
      </c>
      <c r="B151" s="2" t="s">
        <v>34</v>
      </c>
      <c r="C151" s="2" t="s">
        <v>35</v>
      </c>
      <c r="D151" s="2" t="s">
        <v>33</v>
      </c>
      <c r="E151" s="24">
        <v>1.0</v>
      </c>
      <c r="F151" s="24" t="s">
        <v>35</v>
      </c>
      <c r="G151" s="24" t="s">
        <v>35</v>
      </c>
      <c r="H151" s="24" t="s">
        <v>35</v>
      </c>
      <c r="I151" s="32" t="str">
        <f t="shared" si="6"/>
        <v>N/A-GSB-N/A</v>
      </c>
      <c r="J151" s="32"/>
      <c r="K151" s="24"/>
      <c r="L151" s="54"/>
      <c r="M151" s="33"/>
      <c r="N151" s="33"/>
      <c r="O151" s="33"/>
      <c r="P151" s="33"/>
    </row>
    <row r="152">
      <c r="A152" s="22">
        <v>46275.0</v>
      </c>
      <c r="B152" s="2" t="s">
        <v>34</v>
      </c>
      <c r="C152" s="2" t="s">
        <v>35</v>
      </c>
      <c r="D152" s="2" t="s">
        <v>33</v>
      </c>
      <c r="E152" s="24">
        <v>1.0</v>
      </c>
      <c r="F152" s="24" t="s">
        <v>35</v>
      </c>
      <c r="G152" s="24" t="s">
        <v>35</v>
      </c>
      <c r="H152" s="24" t="s">
        <v>35</v>
      </c>
      <c r="I152" s="32" t="str">
        <f t="shared" si="6"/>
        <v>N/A-GSB-N/A</v>
      </c>
      <c r="J152" s="32"/>
      <c r="K152" s="24"/>
      <c r="L152" s="54"/>
      <c r="M152" s="33"/>
      <c r="N152" s="33"/>
      <c r="O152" s="33"/>
      <c r="P152" s="33"/>
    </row>
    <row r="153">
      <c r="A153" s="22">
        <v>46225.0</v>
      </c>
      <c r="B153" s="24" t="s">
        <v>413</v>
      </c>
      <c r="C153" s="2" t="s">
        <v>168</v>
      </c>
      <c r="D153" s="2" t="s">
        <v>6</v>
      </c>
      <c r="E153" s="24">
        <v>1.0</v>
      </c>
      <c r="F153" s="24" t="s">
        <v>414</v>
      </c>
      <c r="G153" s="26" t="s">
        <v>415</v>
      </c>
      <c r="H153" s="61">
        <v>10436.0</v>
      </c>
      <c r="I153" s="29" t="str">
        <f t="shared" ref="I153:I223" si="7">CONCATENATE(H153,"-","GSB","-",F153)</f>
        <v>10436-GSB-SDS/1026441</v>
      </c>
      <c r="J153" s="32"/>
      <c r="K153" s="24"/>
      <c r="L153" s="54"/>
      <c r="M153" s="33"/>
      <c r="N153" s="33"/>
      <c r="O153" s="33"/>
      <c r="P153" s="33"/>
    </row>
    <row r="154">
      <c r="A154" s="22">
        <v>46225.0</v>
      </c>
      <c r="B154" s="24" t="s">
        <v>413</v>
      </c>
      <c r="C154" s="2" t="s">
        <v>168</v>
      </c>
      <c r="D154" s="2" t="s">
        <v>6</v>
      </c>
      <c r="E154" s="24">
        <v>1.0</v>
      </c>
      <c r="F154" s="24" t="s">
        <v>419</v>
      </c>
      <c r="G154" s="26" t="s">
        <v>420</v>
      </c>
      <c r="H154" s="61">
        <v>10437.0</v>
      </c>
      <c r="I154" s="29" t="str">
        <f t="shared" si="7"/>
        <v>10437-GSB-SDS/1026426</v>
      </c>
      <c r="J154" s="32"/>
      <c r="K154" s="24"/>
      <c r="L154" s="54"/>
      <c r="M154" s="33"/>
      <c r="N154" s="33"/>
      <c r="O154" s="33"/>
      <c r="P154" s="33"/>
    </row>
    <row r="155">
      <c r="A155" s="22">
        <v>46253.0</v>
      </c>
      <c r="B155" s="24"/>
      <c r="C155" s="2" t="s">
        <v>168</v>
      </c>
      <c r="D155" s="2" t="s">
        <v>6</v>
      </c>
      <c r="E155" s="24">
        <v>1.0</v>
      </c>
      <c r="F155" s="24" t="s">
        <v>425</v>
      </c>
      <c r="G155" s="26" t="s">
        <v>426</v>
      </c>
      <c r="H155" s="61">
        <v>10458.0</v>
      </c>
      <c r="I155" s="29" t="str">
        <f t="shared" si="7"/>
        <v>10458-GSB-SDS/1044554</v>
      </c>
      <c r="J155" s="32"/>
      <c r="K155" s="24"/>
      <c r="L155" s="54"/>
      <c r="M155" s="33"/>
      <c r="N155" s="33"/>
      <c r="O155" s="33"/>
      <c r="P155" s="33"/>
    </row>
    <row r="156">
      <c r="A156" s="22">
        <v>45897.0</v>
      </c>
      <c r="B156" s="24" t="s">
        <v>35</v>
      </c>
      <c r="C156" s="2">
        <v>7.81410006218E11</v>
      </c>
      <c r="D156" s="2" t="s">
        <v>37</v>
      </c>
      <c r="E156" s="24">
        <v>1.0</v>
      </c>
      <c r="F156" s="24" t="s">
        <v>428</v>
      </c>
      <c r="G156" s="26" t="s">
        <v>35</v>
      </c>
      <c r="H156" s="61">
        <v>9074.0</v>
      </c>
      <c r="I156" s="29" t="str">
        <f t="shared" si="7"/>
        <v>9074-GSB-SDS - 1026106</v>
      </c>
      <c r="J156" s="32"/>
      <c r="K156" s="24"/>
      <c r="L156" s="54"/>
      <c r="M156" s="33"/>
      <c r="N156" s="33"/>
      <c r="O156" s="33"/>
      <c r="P156" s="33"/>
    </row>
    <row r="157">
      <c r="A157" s="22">
        <v>45897.0</v>
      </c>
      <c r="B157" s="24" t="s">
        <v>35</v>
      </c>
      <c r="C157" s="2">
        <v>7.81410006218E11</v>
      </c>
      <c r="D157" s="2" t="s">
        <v>37</v>
      </c>
      <c r="E157" s="24">
        <v>1.0</v>
      </c>
      <c r="F157" s="24" t="s">
        <v>433</v>
      </c>
      <c r="G157" s="26" t="s">
        <v>35</v>
      </c>
      <c r="H157" s="61">
        <v>9073.0</v>
      </c>
      <c r="I157" s="29" t="str">
        <f t="shared" si="7"/>
        <v>9073-GSB-SDS - 1028253</v>
      </c>
      <c r="J157" s="32"/>
      <c r="K157" s="24"/>
      <c r="L157" s="54"/>
      <c r="M157" s="33"/>
      <c r="N157" s="33"/>
      <c r="O157" s="33"/>
      <c r="P157" s="33"/>
    </row>
    <row r="158">
      <c r="A158" s="22">
        <v>46209.0</v>
      </c>
      <c r="B158" s="24" t="s">
        <v>438</v>
      </c>
      <c r="C158" s="2" t="s">
        <v>35</v>
      </c>
      <c r="D158" s="2" t="s">
        <v>36</v>
      </c>
      <c r="E158" s="24">
        <v>1.0</v>
      </c>
      <c r="F158" s="24" t="s">
        <v>35</v>
      </c>
      <c r="G158" s="26" t="s">
        <v>35</v>
      </c>
      <c r="H158" s="61" t="s">
        <v>35</v>
      </c>
      <c r="I158" s="29" t="str">
        <f t="shared" si="7"/>
        <v>N/A-GSB-N/A</v>
      </c>
      <c r="J158" s="32"/>
      <c r="K158" s="24"/>
      <c r="L158" s="24"/>
      <c r="M158" s="33"/>
      <c r="N158" s="33"/>
      <c r="O158" s="33"/>
      <c r="P158" s="33"/>
    </row>
    <row r="159">
      <c r="A159" s="22">
        <v>46209.0</v>
      </c>
      <c r="B159" s="24" t="s">
        <v>438</v>
      </c>
      <c r="C159" s="2" t="s">
        <v>35</v>
      </c>
      <c r="D159" s="2" t="s">
        <v>36</v>
      </c>
      <c r="E159" s="24">
        <v>1.0</v>
      </c>
      <c r="F159" s="24" t="s">
        <v>35</v>
      </c>
      <c r="G159" s="26" t="s">
        <v>35</v>
      </c>
      <c r="H159" s="61" t="s">
        <v>35</v>
      </c>
      <c r="I159" s="29" t="str">
        <f t="shared" si="7"/>
        <v>N/A-GSB-N/A</v>
      </c>
      <c r="J159" s="32"/>
      <c r="K159" s="24"/>
      <c r="L159" s="24"/>
      <c r="M159" s="33"/>
      <c r="N159" s="33"/>
      <c r="O159" s="33"/>
      <c r="P159" s="33"/>
    </row>
    <row r="160">
      <c r="A160" s="22">
        <v>46209.0</v>
      </c>
      <c r="B160" s="24" t="s">
        <v>438</v>
      </c>
      <c r="C160" s="2" t="s">
        <v>35</v>
      </c>
      <c r="D160" s="2" t="s">
        <v>36</v>
      </c>
      <c r="E160" s="24">
        <v>1.0</v>
      </c>
      <c r="F160" s="24" t="s">
        <v>35</v>
      </c>
      <c r="G160" s="26" t="s">
        <v>35</v>
      </c>
      <c r="H160" s="61" t="s">
        <v>35</v>
      </c>
      <c r="I160" s="29" t="str">
        <f t="shared" si="7"/>
        <v>N/A-GSB-N/A</v>
      </c>
      <c r="J160" s="32"/>
      <c r="K160" s="24"/>
      <c r="L160" s="24"/>
      <c r="M160" s="33"/>
      <c r="N160" s="33"/>
      <c r="O160" s="33"/>
      <c r="P160" s="33"/>
    </row>
    <row r="161">
      <c r="A161" s="22">
        <v>46209.0</v>
      </c>
      <c r="B161" s="24" t="s">
        <v>438</v>
      </c>
      <c r="C161" s="2" t="s">
        <v>35</v>
      </c>
      <c r="D161" s="2" t="s">
        <v>36</v>
      </c>
      <c r="E161" s="24">
        <v>1.0</v>
      </c>
      <c r="F161" s="24" t="s">
        <v>35</v>
      </c>
      <c r="G161" s="26" t="s">
        <v>35</v>
      </c>
      <c r="H161" s="61" t="s">
        <v>35</v>
      </c>
      <c r="I161" s="29" t="str">
        <f t="shared" si="7"/>
        <v>N/A-GSB-N/A</v>
      </c>
      <c r="J161" s="32"/>
      <c r="K161" s="24"/>
      <c r="L161" s="24"/>
      <c r="M161" s="33"/>
      <c r="N161" s="33"/>
      <c r="O161" s="33"/>
      <c r="P161" s="33"/>
    </row>
    <row r="162">
      <c r="A162" s="22">
        <v>46209.0</v>
      </c>
      <c r="B162" s="24" t="s">
        <v>438</v>
      </c>
      <c r="C162" s="2" t="s">
        <v>35</v>
      </c>
      <c r="D162" s="2" t="s">
        <v>36</v>
      </c>
      <c r="E162" s="24">
        <v>1.0</v>
      </c>
      <c r="F162" s="24" t="s">
        <v>35</v>
      </c>
      <c r="G162" s="26" t="s">
        <v>35</v>
      </c>
      <c r="H162" s="61" t="s">
        <v>35</v>
      </c>
      <c r="I162" s="29" t="str">
        <f t="shared" si="7"/>
        <v>N/A-GSB-N/A</v>
      </c>
      <c r="J162" s="32"/>
      <c r="K162" s="24"/>
      <c r="L162" s="24"/>
      <c r="M162" s="33"/>
      <c r="N162" s="33"/>
      <c r="O162" s="33"/>
      <c r="P162" s="33"/>
    </row>
    <row r="163">
      <c r="A163" s="22">
        <v>46209.0</v>
      </c>
      <c r="B163" s="24" t="s">
        <v>438</v>
      </c>
      <c r="C163" s="2" t="s">
        <v>35</v>
      </c>
      <c r="D163" s="2" t="s">
        <v>36</v>
      </c>
      <c r="E163" s="24">
        <v>1.0</v>
      </c>
      <c r="F163" s="24" t="s">
        <v>35</v>
      </c>
      <c r="G163" s="26" t="s">
        <v>35</v>
      </c>
      <c r="H163" s="61" t="s">
        <v>35</v>
      </c>
      <c r="I163" s="29" t="str">
        <f t="shared" si="7"/>
        <v>N/A-GSB-N/A</v>
      </c>
      <c r="J163" s="32"/>
      <c r="K163" s="24"/>
      <c r="L163" s="24"/>
      <c r="M163" s="33"/>
      <c r="N163" s="33"/>
      <c r="O163" s="33"/>
      <c r="P163" s="33"/>
    </row>
    <row r="164">
      <c r="A164" s="22">
        <v>46209.0</v>
      </c>
      <c r="B164" s="24" t="s">
        <v>438</v>
      </c>
      <c r="C164" s="2" t="s">
        <v>35</v>
      </c>
      <c r="D164" s="2" t="s">
        <v>36</v>
      </c>
      <c r="E164" s="24">
        <v>1.0</v>
      </c>
      <c r="F164" s="24" t="s">
        <v>35</v>
      </c>
      <c r="G164" s="26" t="s">
        <v>35</v>
      </c>
      <c r="H164" s="61" t="s">
        <v>35</v>
      </c>
      <c r="I164" s="29" t="str">
        <f t="shared" si="7"/>
        <v>N/A-GSB-N/A</v>
      </c>
      <c r="J164" s="32"/>
      <c r="K164" s="24"/>
      <c r="L164" s="24"/>
      <c r="M164" s="33"/>
      <c r="N164" s="33"/>
      <c r="O164" s="33"/>
      <c r="P164" s="33"/>
    </row>
    <row r="165">
      <c r="A165" s="22">
        <v>46209.0</v>
      </c>
      <c r="B165" s="24" t="s">
        <v>438</v>
      </c>
      <c r="C165" s="2" t="s">
        <v>35</v>
      </c>
      <c r="D165" s="2" t="s">
        <v>36</v>
      </c>
      <c r="E165" s="24">
        <v>1.0</v>
      </c>
      <c r="F165" s="24" t="s">
        <v>35</v>
      </c>
      <c r="G165" s="26" t="s">
        <v>35</v>
      </c>
      <c r="H165" s="61" t="s">
        <v>35</v>
      </c>
      <c r="I165" s="29" t="str">
        <f t="shared" si="7"/>
        <v>N/A-GSB-N/A</v>
      </c>
      <c r="J165" s="32"/>
      <c r="K165" s="24"/>
      <c r="L165" s="24"/>
      <c r="M165" s="33"/>
      <c r="N165" s="33"/>
      <c r="O165" s="33"/>
      <c r="P165" s="33"/>
    </row>
    <row r="166">
      <c r="A166" s="22">
        <v>46209.0</v>
      </c>
      <c r="B166" s="24" t="s">
        <v>438</v>
      </c>
      <c r="C166" s="2" t="s">
        <v>35</v>
      </c>
      <c r="D166" s="2" t="s">
        <v>36</v>
      </c>
      <c r="E166" s="24">
        <v>1.0</v>
      </c>
      <c r="F166" s="24" t="s">
        <v>35</v>
      </c>
      <c r="G166" s="26" t="s">
        <v>35</v>
      </c>
      <c r="H166" s="2" t="s">
        <v>35</v>
      </c>
      <c r="I166" s="29" t="str">
        <f t="shared" si="7"/>
        <v>N/A-GSB-N/A</v>
      </c>
      <c r="J166" s="32"/>
      <c r="K166" s="24"/>
      <c r="L166" s="24"/>
      <c r="M166" s="33"/>
      <c r="N166" s="33"/>
      <c r="O166" s="33"/>
      <c r="P166" s="33"/>
    </row>
    <row r="167">
      <c r="A167" s="22">
        <v>46209.0</v>
      </c>
      <c r="B167" s="24" t="s">
        <v>438</v>
      </c>
      <c r="C167" s="2" t="s">
        <v>35</v>
      </c>
      <c r="D167" s="2" t="s">
        <v>36</v>
      </c>
      <c r="E167" s="24">
        <v>1.0</v>
      </c>
      <c r="F167" s="24" t="s">
        <v>35</v>
      </c>
      <c r="G167" s="26" t="s">
        <v>35</v>
      </c>
      <c r="H167" s="2" t="s">
        <v>35</v>
      </c>
      <c r="I167" s="29" t="str">
        <f t="shared" si="7"/>
        <v>N/A-GSB-N/A</v>
      </c>
      <c r="J167" s="32"/>
      <c r="K167" s="24"/>
      <c r="L167" s="24"/>
      <c r="M167" s="33"/>
      <c r="N167" s="33"/>
      <c r="O167" s="33"/>
      <c r="P167" s="33"/>
    </row>
    <row r="168">
      <c r="A168" s="22">
        <v>46209.0</v>
      </c>
      <c r="B168" s="24" t="s">
        <v>438</v>
      </c>
      <c r="C168" s="2" t="s">
        <v>35</v>
      </c>
      <c r="D168" s="2" t="s">
        <v>36</v>
      </c>
      <c r="E168" s="24">
        <v>1.0</v>
      </c>
      <c r="F168" s="24" t="s">
        <v>35</v>
      </c>
      <c r="G168" s="26" t="s">
        <v>35</v>
      </c>
      <c r="H168" s="2" t="s">
        <v>35</v>
      </c>
      <c r="I168" s="29" t="str">
        <f t="shared" si="7"/>
        <v>N/A-GSB-N/A</v>
      </c>
      <c r="J168" s="32"/>
      <c r="K168" s="24"/>
      <c r="L168" s="24"/>
      <c r="M168" s="33"/>
      <c r="N168" s="33"/>
      <c r="O168" s="33"/>
      <c r="P168" s="33"/>
    </row>
    <row r="169">
      <c r="A169" s="22">
        <v>46209.0</v>
      </c>
      <c r="B169" s="24" t="s">
        <v>438</v>
      </c>
      <c r="C169" s="2" t="s">
        <v>35</v>
      </c>
      <c r="D169" s="2" t="s">
        <v>36</v>
      </c>
      <c r="E169" s="24">
        <v>1.0</v>
      </c>
      <c r="F169" s="24" t="s">
        <v>35</v>
      </c>
      <c r="G169" s="26" t="s">
        <v>35</v>
      </c>
      <c r="H169" s="2" t="s">
        <v>35</v>
      </c>
      <c r="I169" s="29" t="str">
        <f t="shared" si="7"/>
        <v>N/A-GSB-N/A</v>
      </c>
      <c r="J169" s="32"/>
      <c r="K169" s="24"/>
      <c r="L169" s="24"/>
      <c r="M169" s="33"/>
      <c r="N169" s="33"/>
      <c r="O169" s="33"/>
      <c r="P169" s="33"/>
    </row>
    <row r="170">
      <c r="A170" s="22">
        <v>46209.0</v>
      </c>
      <c r="B170" s="24" t="s">
        <v>438</v>
      </c>
      <c r="C170" s="2" t="s">
        <v>35</v>
      </c>
      <c r="D170" s="2" t="s">
        <v>36</v>
      </c>
      <c r="E170" s="24">
        <v>1.0</v>
      </c>
      <c r="F170" s="24" t="s">
        <v>35</v>
      </c>
      <c r="G170" s="26" t="s">
        <v>35</v>
      </c>
      <c r="H170" s="2" t="s">
        <v>35</v>
      </c>
      <c r="I170" s="29" t="str">
        <f t="shared" si="7"/>
        <v>N/A-GSB-N/A</v>
      </c>
      <c r="J170" s="32"/>
      <c r="K170" s="24"/>
      <c r="L170" s="24"/>
      <c r="M170" s="33"/>
      <c r="N170" s="33"/>
      <c r="O170" s="33"/>
      <c r="P170" s="33"/>
    </row>
    <row r="171">
      <c r="A171" s="22">
        <v>46209.0</v>
      </c>
      <c r="B171" s="24" t="s">
        <v>438</v>
      </c>
      <c r="C171" s="2" t="s">
        <v>35</v>
      </c>
      <c r="D171" s="2" t="s">
        <v>36</v>
      </c>
      <c r="E171" s="24">
        <v>1.0</v>
      </c>
      <c r="F171" s="24" t="s">
        <v>35</v>
      </c>
      <c r="G171" s="26" t="s">
        <v>35</v>
      </c>
      <c r="H171" s="2" t="s">
        <v>35</v>
      </c>
      <c r="I171" s="29" t="str">
        <f t="shared" si="7"/>
        <v>N/A-GSB-N/A</v>
      </c>
      <c r="J171" s="32"/>
      <c r="K171" s="24"/>
      <c r="L171" s="24"/>
      <c r="M171" s="33"/>
      <c r="N171" s="33"/>
      <c r="O171" s="33"/>
      <c r="P171" s="33"/>
    </row>
    <row r="172">
      <c r="A172" s="22">
        <v>46209.0</v>
      </c>
      <c r="B172" s="24" t="s">
        <v>438</v>
      </c>
      <c r="C172" s="2" t="s">
        <v>35</v>
      </c>
      <c r="D172" s="2" t="s">
        <v>36</v>
      </c>
      <c r="E172" s="24">
        <v>1.0</v>
      </c>
      <c r="F172" s="24" t="s">
        <v>35</v>
      </c>
      <c r="G172" s="26" t="s">
        <v>35</v>
      </c>
      <c r="H172" s="2" t="s">
        <v>35</v>
      </c>
      <c r="I172" s="29" t="str">
        <f t="shared" si="7"/>
        <v>N/A-GSB-N/A</v>
      </c>
      <c r="J172" s="32"/>
      <c r="K172" s="24"/>
      <c r="L172" s="24"/>
      <c r="M172" s="33"/>
      <c r="N172" s="33"/>
      <c r="O172" s="33"/>
      <c r="P172" s="33"/>
    </row>
    <row r="173">
      <c r="A173" s="22">
        <v>46209.0</v>
      </c>
      <c r="B173" s="24" t="s">
        <v>438</v>
      </c>
      <c r="C173" s="2" t="s">
        <v>35</v>
      </c>
      <c r="D173" s="2" t="s">
        <v>36</v>
      </c>
      <c r="E173" s="24">
        <v>1.0</v>
      </c>
      <c r="F173" s="24" t="s">
        <v>35</v>
      </c>
      <c r="G173" s="26" t="s">
        <v>35</v>
      </c>
      <c r="H173" s="2" t="s">
        <v>35</v>
      </c>
      <c r="I173" s="29" t="str">
        <f t="shared" si="7"/>
        <v>N/A-GSB-N/A</v>
      </c>
      <c r="J173" s="32"/>
      <c r="K173" s="24"/>
      <c r="L173" s="24"/>
      <c r="M173" s="33"/>
      <c r="N173" s="33"/>
      <c r="O173" s="33"/>
      <c r="P173" s="33"/>
    </row>
    <row r="174">
      <c r="A174" s="22">
        <v>46209.0</v>
      </c>
      <c r="B174" s="24" t="s">
        <v>438</v>
      </c>
      <c r="C174" s="2" t="s">
        <v>35</v>
      </c>
      <c r="D174" s="2" t="s">
        <v>36</v>
      </c>
      <c r="E174" s="24">
        <v>1.0</v>
      </c>
      <c r="F174" s="24" t="s">
        <v>35</v>
      </c>
      <c r="G174" s="26" t="s">
        <v>35</v>
      </c>
      <c r="H174" s="2" t="s">
        <v>35</v>
      </c>
      <c r="I174" s="29" t="str">
        <f t="shared" si="7"/>
        <v>N/A-GSB-N/A</v>
      </c>
      <c r="J174" s="32"/>
      <c r="K174" s="24"/>
      <c r="L174" s="24"/>
      <c r="M174" s="33"/>
      <c r="N174" s="33"/>
      <c r="O174" s="33"/>
      <c r="P174" s="33"/>
    </row>
    <row r="175">
      <c r="A175" s="22">
        <v>46209.0</v>
      </c>
      <c r="B175" s="24" t="s">
        <v>438</v>
      </c>
      <c r="C175" s="2" t="s">
        <v>35</v>
      </c>
      <c r="D175" s="2" t="s">
        <v>36</v>
      </c>
      <c r="E175" s="24">
        <v>1.0</v>
      </c>
      <c r="F175" s="24" t="s">
        <v>35</v>
      </c>
      <c r="G175" s="26" t="s">
        <v>35</v>
      </c>
      <c r="H175" s="2" t="s">
        <v>35</v>
      </c>
      <c r="I175" s="29" t="str">
        <f t="shared" si="7"/>
        <v>N/A-GSB-N/A</v>
      </c>
      <c r="J175" s="32"/>
      <c r="K175" s="24"/>
      <c r="L175" s="24"/>
      <c r="M175" s="33"/>
      <c r="N175" s="33"/>
      <c r="O175" s="33"/>
      <c r="P175" s="33"/>
    </row>
    <row r="176">
      <c r="A176" s="22">
        <v>46209.0</v>
      </c>
      <c r="B176" s="24" t="s">
        <v>438</v>
      </c>
      <c r="C176" s="2" t="s">
        <v>35</v>
      </c>
      <c r="D176" s="2" t="s">
        <v>36</v>
      </c>
      <c r="E176" s="24">
        <v>1.0</v>
      </c>
      <c r="F176" s="24" t="s">
        <v>35</v>
      </c>
      <c r="G176" s="26" t="s">
        <v>35</v>
      </c>
      <c r="H176" s="2" t="s">
        <v>35</v>
      </c>
      <c r="I176" s="29" t="str">
        <f t="shared" si="7"/>
        <v>N/A-GSB-N/A</v>
      </c>
      <c r="J176" s="32"/>
      <c r="K176" s="24"/>
      <c r="L176" s="24"/>
      <c r="M176" s="33"/>
      <c r="N176" s="33"/>
      <c r="O176" s="33"/>
      <c r="P176" s="33"/>
    </row>
    <row r="177">
      <c r="A177" s="22">
        <v>46209.0</v>
      </c>
      <c r="B177" s="24" t="s">
        <v>438</v>
      </c>
      <c r="C177" s="2" t="s">
        <v>35</v>
      </c>
      <c r="D177" s="2" t="s">
        <v>36</v>
      </c>
      <c r="E177" s="24">
        <v>1.0</v>
      </c>
      <c r="F177" s="24" t="s">
        <v>35</v>
      </c>
      <c r="G177" s="26" t="s">
        <v>35</v>
      </c>
      <c r="H177" s="2" t="s">
        <v>35</v>
      </c>
      <c r="I177" s="29" t="str">
        <f t="shared" si="7"/>
        <v>N/A-GSB-N/A</v>
      </c>
      <c r="J177" s="32"/>
      <c r="K177" s="24"/>
      <c r="L177" s="24"/>
      <c r="M177" s="33"/>
      <c r="N177" s="33"/>
      <c r="O177" s="33"/>
      <c r="P177" s="33"/>
    </row>
    <row r="178">
      <c r="A178" s="22">
        <v>46209.0</v>
      </c>
      <c r="B178" s="24" t="s">
        <v>438</v>
      </c>
      <c r="C178" s="2" t="s">
        <v>35</v>
      </c>
      <c r="D178" s="2" t="s">
        <v>36</v>
      </c>
      <c r="E178" s="24">
        <v>1.0</v>
      </c>
      <c r="F178" s="24" t="s">
        <v>35</v>
      </c>
      <c r="G178" s="26" t="s">
        <v>35</v>
      </c>
      <c r="H178" s="2" t="s">
        <v>35</v>
      </c>
      <c r="I178" s="29" t="str">
        <f t="shared" si="7"/>
        <v>N/A-GSB-N/A</v>
      </c>
      <c r="J178" s="32"/>
      <c r="K178" s="24"/>
      <c r="L178" s="24"/>
      <c r="M178" s="33"/>
      <c r="N178" s="33"/>
      <c r="O178" s="33"/>
      <c r="P178" s="33"/>
    </row>
    <row r="179">
      <c r="A179" s="22">
        <v>46209.0</v>
      </c>
      <c r="B179" s="24" t="s">
        <v>438</v>
      </c>
      <c r="C179" s="2" t="s">
        <v>35</v>
      </c>
      <c r="D179" s="2" t="s">
        <v>36</v>
      </c>
      <c r="E179" s="24">
        <v>1.0</v>
      </c>
      <c r="F179" s="24" t="s">
        <v>35</v>
      </c>
      <c r="G179" s="26" t="s">
        <v>35</v>
      </c>
      <c r="H179" s="2" t="s">
        <v>35</v>
      </c>
      <c r="I179" s="29" t="str">
        <f t="shared" si="7"/>
        <v>N/A-GSB-N/A</v>
      </c>
      <c r="J179" s="32"/>
      <c r="K179" s="24"/>
      <c r="L179" s="24"/>
      <c r="M179" s="33"/>
      <c r="N179" s="33"/>
      <c r="O179" s="33"/>
      <c r="P179" s="33"/>
    </row>
    <row r="180">
      <c r="A180" s="22">
        <v>46209.0</v>
      </c>
      <c r="B180" s="24" t="s">
        <v>438</v>
      </c>
      <c r="C180" s="2" t="s">
        <v>35</v>
      </c>
      <c r="D180" s="2" t="s">
        <v>36</v>
      </c>
      <c r="E180" s="24">
        <v>1.0</v>
      </c>
      <c r="F180" s="24" t="s">
        <v>35</v>
      </c>
      <c r="G180" s="26" t="s">
        <v>35</v>
      </c>
      <c r="H180" s="2" t="s">
        <v>35</v>
      </c>
      <c r="I180" s="29" t="str">
        <f t="shared" si="7"/>
        <v>N/A-GSB-N/A</v>
      </c>
      <c r="J180" s="32"/>
      <c r="K180" s="24"/>
      <c r="L180" s="24"/>
      <c r="M180" s="33"/>
      <c r="N180" s="33"/>
      <c r="O180" s="33"/>
      <c r="P180" s="33"/>
    </row>
    <row r="181">
      <c r="A181" s="22">
        <v>46209.0</v>
      </c>
      <c r="B181" s="24" t="s">
        <v>438</v>
      </c>
      <c r="C181" s="2" t="s">
        <v>35</v>
      </c>
      <c r="D181" s="2" t="s">
        <v>36</v>
      </c>
      <c r="E181" s="24">
        <v>1.0</v>
      </c>
      <c r="F181" s="24" t="s">
        <v>35</v>
      </c>
      <c r="G181" s="26" t="s">
        <v>35</v>
      </c>
      <c r="H181" s="2" t="s">
        <v>35</v>
      </c>
      <c r="I181" s="29" t="str">
        <f t="shared" si="7"/>
        <v>N/A-GSB-N/A</v>
      </c>
      <c r="J181" s="32"/>
      <c r="K181" s="24"/>
      <c r="L181" s="24"/>
      <c r="M181" s="33"/>
      <c r="N181" s="33"/>
      <c r="O181" s="33"/>
      <c r="P181" s="33"/>
    </row>
    <row r="182">
      <c r="A182" s="22">
        <v>46209.0</v>
      </c>
      <c r="B182" s="24" t="s">
        <v>438</v>
      </c>
      <c r="C182" s="2" t="s">
        <v>35</v>
      </c>
      <c r="D182" s="2" t="s">
        <v>36</v>
      </c>
      <c r="E182" s="24">
        <v>1.0</v>
      </c>
      <c r="F182" s="24" t="s">
        <v>35</v>
      </c>
      <c r="G182" s="26" t="s">
        <v>35</v>
      </c>
      <c r="H182" s="2" t="s">
        <v>35</v>
      </c>
      <c r="I182" s="29" t="str">
        <f t="shared" si="7"/>
        <v>N/A-GSB-N/A</v>
      </c>
      <c r="J182" s="32"/>
      <c r="K182" s="24"/>
      <c r="L182" s="24"/>
      <c r="M182" s="33"/>
      <c r="N182" s="33"/>
      <c r="O182" s="33"/>
      <c r="P182" s="33"/>
    </row>
    <row r="183">
      <c r="A183" s="22">
        <v>46209.0</v>
      </c>
      <c r="B183" s="24" t="s">
        <v>438</v>
      </c>
      <c r="C183" s="2" t="s">
        <v>35</v>
      </c>
      <c r="D183" s="2" t="s">
        <v>36</v>
      </c>
      <c r="E183" s="24">
        <v>1.0</v>
      </c>
      <c r="F183" s="24" t="s">
        <v>35</v>
      </c>
      <c r="G183" s="26" t="s">
        <v>35</v>
      </c>
      <c r="H183" s="2" t="s">
        <v>35</v>
      </c>
      <c r="I183" s="29" t="str">
        <f t="shared" si="7"/>
        <v>N/A-GSB-N/A</v>
      </c>
      <c r="J183" s="32"/>
      <c r="K183" s="24"/>
      <c r="L183" s="24"/>
      <c r="M183" s="33"/>
      <c r="N183" s="33"/>
      <c r="O183" s="33"/>
      <c r="P183" s="33"/>
    </row>
    <row r="184">
      <c r="A184" s="22">
        <v>46209.0</v>
      </c>
      <c r="B184" s="24" t="s">
        <v>438</v>
      </c>
      <c r="C184" s="2" t="s">
        <v>35</v>
      </c>
      <c r="D184" s="2" t="s">
        <v>36</v>
      </c>
      <c r="E184" s="24">
        <v>1.0</v>
      </c>
      <c r="F184" s="24" t="s">
        <v>35</v>
      </c>
      <c r="G184" s="26" t="s">
        <v>35</v>
      </c>
      <c r="H184" s="2" t="s">
        <v>35</v>
      </c>
      <c r="I184" s="29" t="str">
        <f t="shared" si="7"/>
        <v>N/A-GSB-N/A</v>
      </c>
      <c r="J184" s="32"/>
      <c r="K184" s="24"/>
      <c r="L184" s="24"/>
      <c r="M184" s="33"/>
      <c r="N184" s="33"/>
      <c r="O184" s="33"/>
      <c r="P184" s="33"/>
    </row>
    <row r="185">
      <c r="A185" s="22">
        <v>46209.0</v>
      </c>
      <c r="B185" s="24" t="s">
        <v>438</v>
      </c>
      <c r="C185" s="2" t="s">
        <v>35</v>
      </c>
      <c r="D185" s="2" t="s">
        <v>36</v>
      </c>
      <c r="E185" s="24">
        <v>1.0</v>
      </c>
      <c r="F185" s="24" t="s">
        <v>35</v>
      </c>
      <c r="G185" s="26" t="s">
        <v>35</v>
      </c>
      <c r="H185" s="2" t="s">
        <v>35</v>
      </c>
      <c r="I185" s="29" t="str">
        <f t="shared" si="7"/>
        <v>N/A-GSB-N/A</v>
      </c>
      <c r="J185" s="32"/>
      <c r="K185" s="24"/>
      <c r="L185" s="24"/>
      <c r="M185" s="33"/>
      <c r="N185" s="33"/>
      <c r="O185" s="33"/>
      <c r="P185" s="33"/>
    </row>
    <row r="186">
      <c r="A186" s="22">
        <v>46209.0</v>
      </c>
      <c r="B186" s="24" t="s">
        <v>438</v>
      </c>
      <c r="C186" s="2" t="s">
        <v>35</v>
      </c>
      <c r="D186" s="2" t="s">
        <v>36</v>
      </c>
      <c r="E186" s="24">
        <v>1.0</v>
      </c>
      <c r="F186" s="24" t="s">
        <v>35</v>
      </c>
      <c r="G186" s="26" t="s">
        <v>35</v>
      </c>
      <c r="H186" s="2" t="s">
        <v>35</v>
      </c>
      <c r="I186" s="29" t="str">
        <f t="shared" si="7"/>
        <v>N/A-GSB-N/A</v>
      </c>
      <c r="J186" s="32"/>
      <c r="K186" s="24"/>
      <c r="L186" s="24"/>
      <c r="M186" s="33"/>
      <c r="N186" s="33"/>
      <c r="O186" s="33"/>
      <c r="P186" s="33"/>
    </row>
    <row r="187">
      <c r="A187" s="22">
        <v>46209.0</v>
      </c>
      <c r="B187" s="24" t="s">
        <v>438</v>
      </c>
      <c r="C187" s="2" t="s">
        <v>35</v>
      </c>
      <c r="D187" s="2" t="s">
        <v>36</v>
      </c>
      <c r="E187" s="24">
        <v>1.0</v>
      </c>
      <c r="F187" s="24" t="s">
        <v>35</v>
      </c>
      <c r="G187" s="26" t="s">
        <v>35</v>
      </c>
      <c r="H187" s="2" t="s">
        <v>35</v>
      </c>
      <c r="I187" s="29" t="str">
        <f t="shared" si="7"/>
        <v>N/A-GSB-N/A</v>
      </c>
      <c r="J187" s="32"/>
      <c r="K187" s="24"/>
      <c r="L187" s="24"/>
      <c r="M187" s="33"/>
      <c r="N187" s="33"/>
      <c r="O187" s="33"/>
      <c r="P187" s="33"/>
    </row>
    <row r="188">
      <c r="A188" s="22">
        <v>46209.0</v>
      </c>
      <c r="B188" s="24" t="s">
        <v>438</v>
      </c>
      <c r="C188" s="2" t="s">
        <v>35</v>
      </c>
      <c r="D188" s="2" t="s">
        <v>36</v>
      </c>
      <c r="E188" s="24">
        <v>1.0</v>
      </c>
      <c r="F188" s="24" t="s">
        <v>35</v>
      </c>
      <c r="G188" s="26" t="s">
        <v>35</v>
      </c>
      <c r="H188" s="2" t="s">
        <v>35</v>
      </c>
      <c r="I188" s="29" t="str">
        <f t="shared" si="7"/>
        <v>N/A-GSB-N/A</v>
      </c>
      <c r="J188" s="32"/>
      <c r="K188" s="24"/>
      <c r="L188" s="24"/>
      <c r="M188" s="33"/>
      <c r="N188" s="33"/>
      <c r="O188" s="33"/>
      <c r="P188" s="33"/>
    </row>
    <row r="189">
      <c r="A189" s="22">
        <v>46209.0</v>
      </c>
      <c r="B189" s="24" t="s">
        <v>438</v>
      </c>
      <c r="C189" s="2" t="s">
        <v>35</v>
      </c>
      <c r="D189" s="2" t="s">
        <v>36</v>
      </c>
      <c r="E189" s="24">
        <v>1.0</v>
      </c>
      <c r="F189" s="24" t="s">
        <v>35</v>
      </c>
      <c r="G189" s="26" t="s">
        <v>35</v>
      </c>
      <c r="H189" s="2" t="s">
        <v>35</v>
      </c>
      <c r="I189" s="29" t="str">
        <f t="shared" si="7"/>
        <v>N/A-GSB-N/A</v>
      </c>
      <c r="J189" s="32"/>
      <c r="K189" s="24"/>
      <c r="L189" s="24"/>
      <c r="M189" s="33"/>
      <c r="N189" s="33"/>
      <c r="O189" s="33"/>
      <c r="P189" s="33"/>
    </row>
    <row r="190">
      <c r="A190" s="22">
        <v>46209.0</v>
      </c>
      <c r="B190" s="24" t="s">
        <v>438</v>
      </c>
      <c r="C190" s="2" t="s">
        <v>35</v>
      </c>
      <c r="D190" s="2" t="s">
        <v>36</v>
      </c>
      <c r="E190" s="24">
        <v>1.0</v>
      </c>
      <c r="F190" s="24" t="s">
        <v>35</v>
      </c>
      <c r="G190" s="26" t="s">
        <v>35</v>
      </c>
      <c r="H190" s="2" t="s">
        <v>35</v>
      </c>
      <c r="I190" s="29" t="str">
        <f t="shared" si="7"/>
        <v>N/A-GSB-N/A</v>
      </c>
      <c r="J190" s="32"/>
      <c r="K190" s="24"/>
      <c r="L190" s="24"/>
      <c r="M190" s="33"/>
      <c r="N190" s="33"/>
      <c r="O190" s="33"/>
      <c r="P190" s="33"/>
    </row>
    <row r="191">
      <c r="A191" s="22">
        <v>46209.0</v>
      </c>
      <c r="B191" s="24" t="s">
        <v>438</v>
      </c>
      <c r="C191" s="2" t="s">
        <v>35</v>
      </c>
      <c r="D191" s="2" t="s">
        <v>36</v>
      </c>
      <c r="E191" s="24">
        <v>1.0</v>
      </c>
      <c r="F191" s="24" t="s">
        <v>35</v>
      </c>
      <c r="G191" s="26" t="s">
        <v>35</v>
      </c>
      <c r="H191" s="2" t="s">
        <v>35</v>
      </c>
      <c r="I191" s="29" t="str">
        <f t="shared" si="7"/>
        <v>N/A-GSB-N/A</v>
      </c>
      <c r="J191" s="32"/>
      <c r="K191" s="24"/>
      <c r="L191" s="24"/>
      <c r="M191" s="33"/>
      <c r="N191" s="33"/>
      <c r="O191" s="33"/>
      <c r="P191" s="33"/>
    </row>
    <row r="192">
      <c r="A192" s="22">
        <v>46209.0</v>
      </c>
      <c r="B192" s="24" t="s">
        <v>438</v>
      </c>
      <c r="C192" s="2" t="s">
        <v>35</v>
      </c>
      <c r="D192" s="2" t="s">
        <v>36</v>
      </c>
      <c r="E192" s="24">
        <v>1.0</v>
      </c>
      <c r="F192" s="24" t="s">
        <v>35</v>
      </c>
      <c r="G192" s="26" t="s">
        <v>35</v>
      </c>
      <c r="H192" s="2" t="s">
        <v>35</v>
      </c>
      <c r="I192" s="29" t="str">
        <f t="shared" si="7"/>
        <v>N/A-GSB-N/A</v>
      </c>
      <c r="J192" s="32"/>
      <c r="K192" s="24"/>
      <c r="L192" s="24"/>
      <c r="M192" s="33"/>
      <c r="N192" s="33"/>
      <c r="O192" s="33"/>
      <c r="P192" s="33"/>
    </row>
    <row r="193">
      <c r="A193" s="22">
        <v>46209.0</v>
      </c>
      <c r="B193" s="24" t="s">
        <v>438</v>
      </c>
      <c r="C193" s="2" t="s">
        <v>35</v>
      </c>
      <c r="D193" s="2" t="s">
        <v>36</v>
      </c>
      <c r="E193" s="24">
        <v>1.0</v>
      </c>
      <c r="F193" s="24" t="s">
        <v>35</v>
      </c>
      <c r="G193" s="26" t="s">
        <v>35</v>
      </c>
      <c r="H193" s="2" t="s">
        <v>35</v>
      </c>
      <c r="I193" s="29" t="str">
        <f t="shared" si="7"/>
        <v>N/A-GSB-N/A</v>
      </c>
      <c r="J193" s="32"/>
      <c r="K193" s="24"/>
      <c r="L193" s="24"/>
      <c r="M193" s="33"/>
      <c r="N193" s="33"/>
      <c r="O193" s="33"/>
      <c r="P193" s="33"/>
    </row>
    <row r="194">
      <c r="A194" s="22">
        <v>46209.0</v>
      </c>
      <c r="B194" s="24" t="s">
        <v>438</v>
      </c>
      <c r="C194" s="2" t="s">
        <v>35</v>
      </c>
      <c r="D194" s="2" t="s">
        <v>36</v>
      </c>
      <c r="E194" s="24">
        <v>1.0</v>
      </c>
      <c r="F194" s="24" t="s">
        <v>35</v>
      </c>
      <c r="G194" s="26" t="s">
        <v>35</v>
      </c>
      <c r="H194" s="2" t="s">
        <v>35</v>
      </c>
      <c r="I194" s="29" t="str">
        <f t="shared" si="7"/>
        <v>N/A-GSB-N/A</v>
      </c>
      <c r="J194" s="32"/>
      <c r="K194" s="24"/>
      <c r="L194" s="24"/>
      <c r="M194" s="33"/>
      <c r="N194" s="33"/>
      <c r="O194" s="33"/>
      <c r="P194" s="33"/>
    </row>
    <row r="195">
      <c r="A195" s="22">
        <v>46209.0</v>
      </c>
      <c r="B195" s="24" t="s">
        <v>438</v>
      </c>
      <c r="C195" s="2" t="s">
        <v>35</v>
      </c>
      <c r="D195" s="2" t="s">
        <v>36</v>
      </c>
      <c r="E195" s="24">
        <v>1.0</v>
      </c>
      <c r="F195" s="24" t="s">
        <v>35</v>
      </c>
      <c r="G195" s="26" t="s">
        <v>35</v>
      </c>
      <c r="H195" s="2" t="s">
        <v>35</v>
      </c>
      <c r="I195" s="29" t="str">
        <f t="shared" si="7"/>
        <v>N/A-GSB-N/A</v>
      </c>
      <c r="J195" s="32"/>
      <c r="K195" s="24"/>
      <c r="L195" s="24"/>
      <c r="M195" s="33"/>
      <c r="N195" s="33"/>
      <c r="O195" s="33"/>
      <c r="P195" s="33"/>
    </row>
    <row r="196">
      <c r="A196" s="22">
        <v>46209.0</v>
      </c>
      <c r="B196" s="24" t="s">
        <v>438</v>
      </c>
      <c r="C196" s="2" t="s">
        <v>35</v>
      </c>
      <c r="D196" s="2" t="s">
        <v>36</v>
      </c>
      <c r="E196" s="24">
        <v>1.0</v>
      </c>
      <c r="F196" s="24" t="s">
        <v>35</v>
      </c>
      <c r="G196" s="26" t="s">
        <v>35</v>
      </c>
      <c r="H196" s="2" t="s">
        <v>35</v>
      </c>
      <c r="I196" s="29" t="str">
        <f t="shared" si="7"/>
        <v>N/A-GSB-N/A</v>
      </c>
      <c r="J196" s="32"/>
      <c r="K196" s="24"/>
      <c r="L196" s="24"/>
      <c r="M196" s="33"/>
      <c r="N196" s="33"/>
      <c r="O196" s="33"/>
      <c r="P196" s="33"/>
    </row>
    <row r="197">
      <c r="A197" s="22">
        <v>46209.0</v>
      </c>
      <c r="B197" s="24" t="s">
        <v>438</v>
      </c>
      <c r="C197" s="2" t="s">
        <v>35</v>
      </c>
      <c r="D197" s="2" t="s">
        <v>36</v>
      </c>
      <c r="E197" s="24">
        <v>1.0</v>
      </c>
      <c r="F197" s="24" t="s">
        <v>35</v>
      </c>
      <c r="G197" s="26" t="s">
        <v>35</v>
      </c>
      <c r="H197" s="2" t="s">
        <v>35</v>
      </c>
      <c r="I197" s="29" t="str">
        <f t="shared" si="7"/>
        <v>N/A-GSB-N/A</v>
      </c>
      <c r="J197" s="32"/>
      <c r="K197" s="24"/>
      <c r="L197" s="24"/>
      <c r="M197" s="33"/>
      <c r="N197" s="33"/>
      <c r="O197" s="33"/>
      <c r="P197" s="33"/>
    </row>
    <row r="198">
      <c r="A198" s="22">
        <v>46209.0</v>
      </c>
      <c r="B198" s="24" t="s">
        <v>438</v>
      </c>
      <c r="C198" s="2" t="s">
        <v>35</v>
      </c>
      <c r="D198" s="2" t="s">
        <v>36</v>
      </c>
      <c r="E198" s="24">
        <v>1.0</v>
      </c>
      <c r="F198" s="24" t="s">
        <v>35</v>
      </c>
      <c r="G198" s="26" t="s">
        <v>35</v>
      </c>
      <c r="H198" s="2" t="s">
        <v>35</v>
      </c>
      <c r="I198" s="29" t="str">
        <f t="shared" si="7"/>
        <v>N/A-GSB-N/A</v>
      </c>
      <c r="J198" s="32"/>
      <c r="K198" s="24"/>
      <c r="L198" s="24"/>
      <c r="M198" s="33"/>
      <c r="N198" s="33"/>
      <c r="O198" s="33"/>
      <c r="P198" s="33"/>
    </row>
    <row r="199">
      <c r="A199" s="22">
        <v>46209.0</v>
      </c>
      <c r="B199" s="24" t="s">
        <v>438</v>
      </c>
      <c r="C199" s="2" t="s">
        <v>35</v>
      </c>
      <c r="D199" s="2" t="s">
        <v>36</v>
      </c>
      <c r="E199" s="24">
        <v>1.0</v>
      </c>
      <c r="F199" s="24" t="s">
        <v>35</v>
      </c>
      <c r="G199" s="26" t="s">
        <v>35</v>
      </c>
      <c r="H199" s="2" t="s">
        <v>35</v>
      </c>
      <c r="I199" s="29" t="str">
        <f t="shared" si="7"/>
        <v>N/A-GSB-N/A</v>
      </c>
      <c r="J199" s="32"/>
      <c r="K199" s="24"/>
      <c r="L199" s="24"/>
      <c r="M199" s="33"/>
      <c r="N199" s="33"/>
      <c r="O199" s="33"/>
      <c r="P199" s="33"/>
    </row>
    <row r="200">
      <c r="A200" s="22">
        <v>46209.0</v>
      </c>
      <c r="B200" s="24" t="s">
        <v>438</v>
      </c>
      <c r="C200" s="2" t="s">
        <v>35</v>
      </c>
      <c r="D200" s="2" t="s">
        <v>36</v>
      </c>
      <c r="E200" s="24">
        <v>1.0</v>
      </c>
      <c r="F200" s="24" t="s">
        <v>35</v>
      </c>
      <c r="G200" s="26" t="s">
        <v>35</v>
      </c>
      <c r="H200" s="2" t="s">
        <v>35</v>
      </c>
      <c r="I200" s="29" t="str">
        <f t="shared" si="7"/>
        <v>N/A-GSB-N/A</v>
      </c>
      <c r="J200" s="32"/>
      <c r="K200" s="24"/>
      <c r="L200" s="24"/>
      <c r="M200" s="33"/>
      <c r="N200" s="33"/>
      <c r="O200" s="33"/>
      <c r="P200" s="33"/>
    </row>
    <row r="201">
      <c r="A201" s="22">
        <v>46209.0</v>
      </c>
      <c r="B201" s="24" t="s">
        <v>438</v>
      </c>
      <c r="C201" s="2" t="s">
        <v>35</v>
      </c>
      <c r="D201" s="2" t="s">
        <v>36</v>
      </c>
      <c r="E201" s="24">
        <v>1.0</v>
      </c>
      <c r="F201" s="24" t="s">
        <v>35</v>
      </c>
      <c r="G201" s="26" t="s">
        <v>35</v>
      </c>
      <c r="H201" s="2" t="s">
        <v>35</v>
      </c>
      <c r="I201" s="29" t="str">
        <f t="shared" si="7"/>
        <v>N/A-GSB-N/A</v>
      </c>
      <c r="J201" s="32"/>
      <c r="K201" s="24"/>
      <c r="L201" s="24"/>
      <c r="M201" s="33"/>
      <c r="N201" s="33"/>
      <c r="O201" s="33"/>
      <c r="P201" s="33"/>
    </row>
    <row r="202">
      <c r="A202" s="22">
        <v>46209.0</v>
      </c>
      <c r="B202" s="24" t="s">
        <v>438</v>
      </c>
      <c r="C202" s="2" t="s">
        <v>35</v>
      </c>
      <c r="D202" s="2" t="s">
        <v>36</v>
      </c>
      <c r="E202" s="24">
        <v>1.0</v>
      </c>
      <c r="F202" s="24" t="s">
        <v>35</v>
      </c>
      <c r="G202" s="26" t="s">
        <v>35</v>
      </c>
      <c r="H202" s="2" t="s">
        <v>35</v>
      </c>
      <c r="I202" s="29" t="str">
        <f t="shared" si="7"/>
        <v>N/A-GSB-N/A</v>
      </c>
      <c r="J202" s="32"/>
      <c r="K202" s="24"/>
      <c r="L202" s="24"/>
      <c r="M202" s="33"/>
      <c r="N202" s="33"/>
      <c r="O202" s="33"/>
      <c r="P202" s="33"/>
    </row>
    <row r="203">
      <c r="A203" s="22">
        <v>46209.0</v>
      </c>
      <c r="B203" s="24" t="s">
        <v>438</v>
      </c>
      <c r="C203" s="2" t="s">
        <v>35</v>
      </c>
      <c r="D203" s="2" t="s">
        <v>36</v>
      </c>
      <c r="E203" s="24">
        <v>1.0</v>
      </c>
      <c r="F203" s="24" t="s">
        <v>35</v>
      </c>
      <c r="G203" s="26" t="s">
        <v>35</v>
      </c>
      <c r="H203" s="2" t="s">
        <v>35</v>
      </c>
      <c r="I203" s="29" t="str">
        <f t="shared" si="7"/>
        <v>N/A-GSB-N/A</v>
      </c>
      <c r="J203" s="32"/>
      <c r="K203" s="24"/>
      <c r="L203" s="24"/>
      <c r="M203" s="33"/>
      <c r="N203" s="33"/>
      <c r="O203" s="33"/>
      <c r="P203" s="33"/>
    </row>
    <row r="204">
      <c r="A204" s="22">
        <v>46209.0</v>
      </c>
      <c r="B204" s="24" t="s">
        <v>438</v>
      </c>
      <c r="C204" s="2" t="s">
        <v>35</v>
      </c>
      <c r="D204" s="2" t="s">
        <v>36</v>
      </c>
      <c r="E204" s="24">
        <v>1.0</v>
      </c>
      <c r="F204" s="24" t="s">
        <v>35</v>
      </c>
      <c r="G204" s="26" t="s">
        <v>35</v>
      </c>
      <c r="H204" s="2" t="s">
        <v>35</v>
      </c>
      <c r="I204" s="29" t="str">
        <f t="shared" si="7"/>
        <v>N/A-GSB-N/A</v>
      </c>
      <c r="J204" s="32"/>
      <c r="K204" s="24"/>
      <c r="L204" s="24"/>
      <c r="M204" s="33"/>
      <c r="N204" s="33"/>
      <c r="O204" s="33"/>
      <c r="P204" s="33"/>
    </row>
    <row r="205">
      <c r="A205" s="22">
        <v>46209.0</v>
      </c>
      <c r="B205" s="24" t="s">
        <v>438</v>
      </c>
      <c r="C205" s="2" t="s">
        <v>35</v>
      </c>
      <c r="D205" s="2" t="s">
        <v>36</v>
      </c>
      <c r="E205" s="24">
        <v>1.0</v>
      </c>
      <c r="F205" s="24" t="s">
        <v>35</v>
      </c>
      <c r="G205" s="26" t="s">
        <v>35</v>
      </c>
      <c r="H205" s="2" t="s">
        <v>35</v>
      </c>
      <c r="I205" s="29" t="str">
        <f t="shared" si="7"/>
        <v>N/A-GSB-N/A</v>
      </c>
      <c r="J205" s="32"/>
      <c r="K205" s="24"/>
      <c r="L205" s="24"/>
      <c r="M205" s="33"/>
      <c r="N205" s="33"/>
      <c r="O205" s="33"/>
      <c r="P205" s="33"/>
    </row>
    <row r="206">
      <c r="A206" s="22">
        <v>46209.0</v>
      </c>
      <c r="B206" s="24" t="s">
        <v>438</v>
      </c>
      <c r="C206" s="2" t="s">
        <v>35</v>
      </c>
      <c r="D206" s="2" t="s">
        <v>36</v>
      </c>
      <c r="E206" s="24">
        <v>1.0</v>
      </c>
      <c r="F206" s="24" t="s">
        <v>35</v>
      </c>
      <c r="G206" s="26" t="s">
        <v>35</v>
      </c>
      <c r="H206" s="2" t="s">
        <v>35</v>
      </c>
      <c r="I206" s="29" t="str">
        <f t="shared" si="7"/>
        <v>N/A-GSB-N/A</v>
      </c>
      <c r="J206" s="32"/>
      <c r="K206" s="24"/>
      <c r="L206" s="24"/>
      <c r="M206" s="33"/>
      <c r="N206" s="33"/>
      <c r="O206" s="33"/>
      <c r="P206" s="33"/>
    </row>
    <row r="207">
      <c r="A207" s="22">
        <v>46209.0</v>
      </c>
      <c r="B207" s="24" t="s">
        <v>438</v>
      </c>
      <c r="C207" s="2" t="s">
        <v>35</v>
      </c>
      <c r="D207" s="2" t="s">
        <v>36</v>
      </c>
      <c r="E207" s="24">
        <v>1.0</v>
      </c>
      <c r="F207" s="24" t="s">
        <v>35</v>
      </c>
      <c r="G207" s="26" t="s">
        <v>35</v>
      </c>
      <c r="H207" s="2" t="s">
        <v>35</v>
      </c>
      <c r="I207" s="29" t="str">
        <f t="shared" si="7"/>
        <v>N/A-GSB-N/A</v>
      </c>
      <c r="J207" s="32"/>
      <c r="K207" s="24"/>
      <c r="L207" s="24"/>
      <c r="M207" s="33"/>
      <c r="N207" s="33"/>
      <c r="O207" s="33"/>
      <c r="P207" s="33"/>
    </row>
    <row r="208">
      <c r="A208" s="22">
        <v>46209.0</v>
      </c>
      <c r="B208" s="24" t="s">
        <v>438</v>
      </c>
      <c r="C208" s="2" t="s">
        <v>35</v>
      </c>
      <c r="D208" s="2" t="s">
        <v>36</v>
      </c>
      <c r="E208" s="24">
        <v>1.0</v>
      </c>
      <c r="F208" s="24" t="s">
        <v>35</v>
      </c>
      <c r="G208" s="26" t="s">
        <v>35</v>
      </c>
      <c r="H208" s="2" t="s">
        <v>35</v>
      </c>
      <c r="I208" s="29" t="str">
        <f t="shared" si="7"/>
        <v>N/A-GSB-N/A</v>
      </c>
      <c r="J208" s="32"/>
      <c r="K208" s="24"/>
      <c r="L208" s="24"/>
      <c r="M208" s="33"/>
      <c r="N208" s="33"/>
      <c r="O208" s="33"/>
      <c r="P208" s="33"/>
    </row>
    <row r="209">
      <c r="A209" s="22">
        <v>46209.0</v>
      </c>
      <c r="B209" s="24" t="s">
        <v>438</v>
      </c>
      <c r="C209" s="2" t="s">
        <v>35</v>
      </c>
      <c r="D209" s="2" t="s">
        <v>36</v>
      </c>
      <c r="E209" s="24">
        <v>1.0</v>
      </c>
      <c r="F209" s="24" t="s">
        <v>35</v>
      </c>
      <c r="G209" s="26" t="s">
        <v>35</v>
      </c>
      <c r="H209" s="2" t="s">
        <v>35</v>
      </c>
      <c r="I209" s="29" t="str">
        <f t="shared" si="7"/>
        <v>N/A-GSB-N/A</v>
      </c>
      <c r="J209" s="32"/>
      <c r="K209" s="24"/>
      <c r="L209" s="24"/>
      <c r="M209" s="33"/>
      <c r="N209" s="33"/>
      <c r="O209" s="33"/>
      <c r="P209" s="33"/>
    </row>
    <row r="210">
      <c r="A210" s="22">
        <v>46209.0</v>
      </c>
      <c r="B210" s="24" t="s">
        <v>438</v>
      </c>
      <c r="C210" s="2" t="s">
        <v>35</v>
      </c>
      <c r="D210" s="2" t="s">
        <v>36</v>
      </c>
      <c r="E210" s="24">
        <v>1.0</v>
      </c>
      <c r="F210" s="24" t="s">
        <v>35</v>
      </c>
      <c r="G210" s="26" t="s">
        <v>35</v>
      </c>
      <c r="H210" s="2" t="s">
        <v>35</v>
      </c>
      <c r="I210" s="29" t="str">
        <f t="shared" si="7"/>
        <v>N/A-GSB-N/A</v>
      </c>
      <c r="J210" s="32"/>
      <c r="K210" s="24"/>
      <c r="L210" s="24"/>
      <c r="M210" s="33"/>
      <c r="N210" s="33"/>
      <c r="O210" s="33"/>
      <c r="P210" s="33"/>
    </row>
    <row r="211">
      <c r="A211" s="22">
        <v>46209.0</v>
      </c>
      <c r="B211" s="24" t="s">
        <v>438</v>
      </c>
      <c r="C211" s="2" t="s">
        <v>35</v>
      </c>
      <c r="D211" s="2" t="s">
        <v>36</v>
      </c>
      <c r="E211" s="24">
        <v>1.0</v>
      </c>
      <c r="F211" s="24" t="s">
        <v>35</v>
      </c>
      <c r="G211" s="26" t="s">
        <v>35</v>
      </c>
      <c r="H211" s="2" t="s">
        <v>35</v>
      </c>
      <c r="I211" s="29" t="str">
        <f t="shared" si="7"/>
        <v>N/A-GSB-N/A</v>
      </c>
      <c r="J211" s="32"/>
      <c r="K211" s="24"/>
      <c r="L211" s="24"/>
      <c r="M211" s="33"/>
      <c r="N211" s="33"/>
      <c r="O211" s="33"/>
      <c r="P211" s="33"/>
    </row>
    <row r="212">
      <c r="A212" s="22">
        <v>46209.0</v>
      </c>
      <c r="B212" s="24" t="s">
        <v>438</v>
      </c>
      <c r="C212" s="2" t="s">
        <v>35</v>
      </c>
      <c r="D212" s="2" t="s">
        <v>36</v>
      </c>
      <c r="E212" s="24">
        <v>1.0</v>
      </c>
      <c r="F212" s="24" t="s">
        <v>35</v>
      </c>
      <c r="G212" s="26" t="s">
        <v>35</v>
      </c>
      <c r="H212" s="2" t="s">
        <v>35</v>
      </c>
      <c r="I212" s="29" t="str">
        <f t="shared" si="7"/>
        <v>N/A-GSB-N/A</v>
      </c>
      <c r="J212" s="32"/>
      <c r="K212" s="24"/>
      <c r="L212" s="24"/>
      <c r="M212" s="33"/>
      <c r="N212" s="33"/>
      <c r="O212" s="33"/>
      <c r="P212" s="33"/>
    </row>
    <row r="213">
      <c r="A213" s="22">
        <v>46209.0</v>
      </c>
      <c r="B213" s="24" t="s">
        <v>438</v>
      </c>
      <c r="C213" s="2" t="s">
        <v>35</v>
      </c>
      <c r="D213" s="2" t="s">
        <v>36</v>
      </c>
      <c r="E213" s="24">
        <v>1.0</v>
      </c>
      <c r="F213" s="24" t="s">
        <v>35</v>
      </c>
      <c r="G213" s="26" t="s">
        <v>35</v>
      </c>
      <c r="H213" s="2" t="s">
        <v>35</v>
      </c>
      <c r="I213" s="29" t="str">
        <f t="shared" si="7"/>
        <v>N/A-GSB-N/A</v>
      </c>
      <c r="J213" s="32"/>
      <c r="K213" s="24"/>
      <c r="L213" s="24"/>
      <c r="M213" s="33"/>
      <c r="N213" s="33"/>
      <c r="O213" s="33"/>
      <c r="P213" s="33"/>
    </row>
    <row r="214">
      <c r="A214" s="22">
        <v>46209.0</v>
      </c>
      <c r="B214" s="24" t="s">
        <v>438</v>
      </c>
      <c r="C214" s="2" t="s">
        <v>35</v>
      </c>
      <c r="D214" s="2" t="s">
        <v>36</v>
      </c>
      <c r="E214" s="24">
        <v>1.0</v>
      </c>
      <c r="F214" s="24" t="s">
        <v>35</v>
      </c>
      <c r="G214" s="26" t="s">
        <v>35</v>
      </c>
      <c r="H214" s="2" t="s">
        <v>35</v>
      </c>
      <c r="I214" s="29" t="str">
        <f t="shared" si="7"/>
        <v>N/A-GSB-N/A</v>
      </c>
      <c r="J214" s="32"/>
      <c r="K214" s="24"/>
      <c r="L214" s="24"/>
      <c r="M214" s="33"/>
      <c r="N214" s="33"/>
      <c r="O214" s="33"/>
      <c r="P214" s="33"/>
    </row>
    <row r="215">
      <c r="A215" s="22" t="s">
        <v>35</v>
      </c>
      <c r="B215" s="24" t="s">
        <v>35</v>
      </c>
      <c r="C215" s="2" t="s">
        <v>499</v>
      </c>
      <c r="D215" s="2" t="s">
        <v>39</v>
      </c>
      <c r="E215" s="24">
        <v>1.0</v>
      </c>
      <c r="F215" s="24" t="s">
        <v>35</v>
      </c>
      <c r="G215" s="26" t="s">
        <v>500</v>
      </c>
      <c r="H215" s="2">
        <v>1657.0</v>
      </c>
      <c r="I215" s="29" t="str">
        <f t="shared" si="7"/>
        <v>1657-GSB-N/A</v>
      </c>
      <c r="J215" s="32"/>
      <c r="K215" s="24"/>
      <c r="L215" s="24"/>
      <c r="M215" s="33"/>
      <c r="N215" s="33"/>
      <c r="O215" s="33"/>
      <c r="P215" s="33"/>
    </row>
    <row r="216">
      <c r="A216" s="22" t="s">
        <v>35</v>
      </c>
      <c r="B216" s="24" t="s">
        <v>35</v>
      </c>
      <c r="C216" s="2" t="s">
        <v>499</v>
      </c>
      <c r="D216" s="2" t="s">
        <v>39</v>
      </c>
      <c r="E216" s="24">
        <v>1.0</v>
      </c>
      <c r="F216" s="24" t="s">
        <v>35</v>
      </c>
      <c r="G216" s="26" t="s">
        <v>502</v>
      </c>
      <c r="H216" s="2">
        <v>1658.0</v>
      </c>
      <c r="I216" s="29" t="str">
        <f t="shared" si="7"/>
        <v>1658-GSB-N/A</v>
      </c>
      <c r="J216" s="32"/>
      <c r="K216" s="24"/>
      <c r="L216" s="24"/>
      <c r="M216" s="33"/>
      <c r="N216" s="33"/>
      <c r="O216" s="33"/>
      <c r="P216" s="33"/>
    </row>
    <row r="217">
      <c r="A217" s="22">
        <v>46182.0</v>
      </c>
      <c r="B217" s="24" t="s">
        <v>503</v>
      </c>
      <c r="C217" s="2" t="s">
        <v>504</v>
      </c>
      <c r="D217" s="2" t="s">
        <v>42</v>
      </c>
      <c r="E217" s="24">
        <v>1.0</v>
      </c>
      <c r="F217" s="24" t="s">
        <v>35</v>
      </c>
      <c r="G217" s="26" t="s">
        <v>506</v>
      </c>
      <c r="H217" s="2">
        <v>10233.0</v>
      </c>
      <c r="I217" s="29" t="str">
        <f t="shared" si="7"/>
        <v>10233-GSB-N/A</v>
      </c>
      <c r="J217" s="32"/>
      <c r="K217" s="24"/>
      <c r="L217" s="24"/>
      <c r="M217" s="33"/>
      <c r="N217" s="33"/>
      <c r="O217" s="33"/>
      <c r="P217" s="33"/>
    </row>
    <row r="218">
      <c r="A218" s="22">
        <v>46182.0</v>
      </c>
      <c r="B218" s="24" t="s">
        <v>503</v>
      </c>
      <c r="C218" s="2" t="s">
        <v>504</v>
      </c>
      <c r="D218" s="2" t="s">
        <v>42</v>
      </c>
      <c r="E218" s="24">
        <v>1.0</v>
      </c>
      <c r="F218" s="24" t="s">
        <v>35</v>
      </c>
      <c r="G218" s="26" t="s">
        <v>509</v>
      </c>
      <c r="H218" s="2">
        <v>10239.0</v>
      </c>
      <c r="I218" s="29" t="str">
        <f t="shared" si="7"/>
        <v>10239-GSB-N/A</v>
      </c>
      <c r="J218" s="32"/>
      <c r="K218" s="24"/>
      <c r="L218" s="24"/>
      <c r="M218" s="33"/>
      <c r="N218" s="33"/>
      <c r="O218" s="33"/>
      <c r="P218" s="33"/>
    </row>
    <row r="219">
      <c r="A219" s="22">
        <v>46182.0</v>
      </c>
      <c r="B219" s="24" t="s">
        <v>503</v>
      </c>
      <c r="C219" s="2" t="s">
        <v>504</v>
      </c>
      <c r="D219" s="2" t="s">
        <v>42</v>
      </c>
      <c r="E219" s="24">
        <v>1.0</v>
      </c>
      <c r="F219" s="24" t="s">
        <v>35</v>
      </c>
      <c r="G219" s="26" t="s">
        <v>511</v>
      </c>
      <c r="H219" s="2">
        <v>10240.0</v>
      </c>
      <c r="I219" s="29" t="str">
        <f t="shared" si="7"/>
        <v>10240-GSB-N/A</v>
      </c>
      <c r="J219" s="32"/>
      <c r="K219" s="24"/>
      <c r="L219" s="24"/>
      <c r="M219" s="33"/>
      <c r="N219" s="33"/>
      <c r="O219" s="33"/>
      <c r="P219" s="33"/>
    </row>
    <row r="220">
      <c r="A220" s="22">
        <v>46182.0</v>
      </c>
      <c r="B220" s="24" t="s">
        <v>503</v>
      </c>
      <c r="C220" s="2" t="s">
        <v>504</v>
      </c>
      <c r="D220" s="2" t="s">
        <v>42</v>
      </c>
      <c r="E220" s="24">
        <v>1.0</v>
      </c>
      <c r="F220" s="24" t="s">
        <v>35</v>
      </c>
      <c r="G220" s="26" t="s">
        <v>512</v>
      </c>
      <c r="H220" s="2">
        <v>10241.0</v>
      </c>
      <c r="I220" s="29" t="str">
        <f t="shared" si="7"/>
        <v>10241-GSB-N/A</v>
      </c>
      <c r="J220" s="32"/>
      <c r="K220" s="24"/>
      <c r="L220" s="24"/>
      <c r="M220" s="33"/>
      <c r="N220" s="33"/>
      <c r="O220" s="33"/>
      <c r="P220" s="33"/>
    </row>
    <row r="221">
      <c r="A221" s="22">
        <v>46182.0</v>
      </c>
      <c r="B221" s="24" t="s">
        <v>503</v>
      </c>
      <c r="C221" s="2" t="s">
        <v>504</v>
      </c>
      <c r="D221" s="2" t="s">
        <v>42</v>
      </c>
      <c r="E221" s="24">
        <v>1.0</v>
      </c>
      <c r="F221" s="24" t="s">
        <v>35</v>
      </c>
      <c r="G221" s="26" t="s">
        <v>513</v>
      </c>
      <c r="H221" s="2">
        <v>10242.0</v>
      </c>
      <c r="I221" s="29" t="str">
        <f t="shared" si="7"/>
        <v>10242-GSB-N/A</v>
      </c>
      <c r="J221" s="32"/>
      <c r="K221" s="24"/>
      <c r="L221" s="24"/>
      <c r="M221" s="33"/>
      <c r="N221" s="33"/>
      <c r="O221" s="33"/>
      <c r="P221" s="33"/>
    </row>
    <row r="222">
      <c r="A222" s="22">
        <v>46182.0</v>
      </c>
      <c r="B222" s="24" t="s">
        <v>503</v>
      </c>
      <c r="C222" s="2" t="s">
        <v>504</v>
      </c>
      <c r="D222" s="2" t="s">
        <v>42</v>
      </c>
      <c r="E222" s="24">
        <v>1.0</v>
      </c>
      <c r="F222" s="24" t="s">
        <v>35</v>
      </c>
      <c r="G222" s="26" t="s">
        <v>514</v>
      </c>
      <c r="H222" s="2">
        <v>10243.0</v>
      </c>
      <c r="I222" s="29" t="str">
        <f t="shared" si="7"/>
        <v>10243-GSB-N/A</v>
      </c>
      <c r="J222" s="32"/>
      <c r="K222" s="24"/>
      <c r="L222" s="24"/>
      <c r="M222" s="33"/>
      <c r="N222" s="33"/>
      <c r="O222" s="33"/>
      <c r="P222" s="33"/>
    </row>
    <row r="223">
      <c r="A223" s="22">
        <v>46182.0</v>
      </c>
      <c r="B223" s="24" t="s">
        <v>503</v>
      </c>
      <c r="C223" s="2" t="s">
        <v>504</v>
      </c>
      <c r="D223" s="2" t="s">
        <v>42</v>
      </c>
      <c r="E223" s="24">
        <v>1.0</v>
      </c>
      <c r="F223" s="24" t="s">
        <v>35</v>
      </c>
      <c r="G223" s="26" t="s">
        <v>515</v>
      </c>
      <c r="H223" s="2">
        <v>10244.0</v>
      </c>
      <c r="I223" s="29" t="str">
        <f t="shared" si="7"/>
        <v>10244-GSB-N/A</v>
      </c>
      <c r="J223" s="32"/>
      <c r="K223" s="24"/>
      <c r="L223" s="24"/>
      <c r="M223" s="33"/>
      <c r="N223" s="33"/>
      <c r="O223" s="33"/>
      <c r="P223" s="33"/>
    </row>
    <row r="224">
      <c r="A224" s="22">
        <v>46275.0</v>
      </c>
      <c r="B224" s="2" t="s">
        <v>252</v>
      </c>
      <c r="C224" s="2" t="s">
        <v>35</v>
      </c>
      <c r="D224" s="2" t="s">
        <v>41</v>
      </c>
      <c r="E224" s="24">
        <v>1.0</v>
      </c>
      <c r="F224" s="40" t="s">
        <v>518</v>
      </c>
      <c r="G224" s="24" t="s">
        <v>35</v>
      </c>
      <c r="H224" s="2">
        <v>10546.0</v>
      </c>
      <c r="I224" s="29" t="str">
        <f t="shared" ref="I224:I233" si="8">CONCATENATE(H224,"-","GSB","-",G224)</f>
        <v>10546-GSB-N/A</v>
      </c>
      <c r="J224" s="32"/>
      <c r="K224" s="24"/>
      <c r="L224" s="24"/>
      <c r="M224" s="33"/>
      <c r="N224" s="33"/>
      <c r="O224" s="33"/>
      <c r="P224" s="33"/>
    </row>
    <row r="225">
      <c r="A225" s="22">
        <v>46275.0</v>
      </c>
      <c r="B225" s="2" t="s">
        <v>252</v>
      </c>
      <c r="C225" s="2" t="s">
        <v>35</v>
      </c>
      <c r="D225" s="2" t="s">
        <v>41</v>
      </c>
      <c r="E225" s="24">
        <v>1.0</v>
      </c>
      <c r="F225" s="40" t="s">
        <v>519</v>
      </c>
      <c r="G225" s="24" t="s">
        <v>35</v>
      </c>
      <c r="H225" s="2">
        <v>10547.0</v>
      </c>
      <c r="I225" s="29" t="str">
        <f t="shared" si="8"/>
        <v>10547-GSB-N/A</v>
      </c>
      <c r="J225" s="32"/>
      <c r="K225" s="24"/>
      <c r="L225" s="24"/>
      <c r="M225" s="33"/>
      <c r="N225" s="33"/>
      <c r="O225" s="33"/>
      <c r="P225" s="33"/>
    </row>
    <row r="226">
      <c r="A226" s="22">
        <v>46275.0</v>
      </c>
      <c r="B226" s="2" t="s">
        <v>252</v>
      </c>
      <c r="C226" s="2" t="s">
        <v>35</v>
      </c>
      <c r="D226" s="2" t="s">
        <v>41</v>
      </c>
      <c r="E226" s="24">
        <v>1.0</v>
      </c>
      <c r="F226" s="40" t="s">
        <v>520</v>
      </c>
      <c r="G226" s="24" t="s">
        <v>35</v>
      </c>
      <c r="H226" s="2">
        <v>10548.0</v>
      </c>
      <c r="I226" s="29" t="str">
        <f t="shared" si="8"/>
        <v>10548-GSB-N/A</v>
      </c>
      <c r="J226" s="32"/>
      <c r="K226" s="24"/>
      <c r="L226" s="24"/>
      <c r="M226" s="33"/>
      <c r="N226" s="33"/>
      <c r="O226" s="33"/>
      <c r="P226" s="33"/>
    </row>
    <row r="227">
      <c r="A227" s="22">
        <v>46275.0</v>
      </c>
      <c r="B227" s="2" t="s">
        <v>252</v>
      </c>
      <c r="C227" s="2" t="s">
        <v>35</v>
      </c>
      <c r="D227" s="2" t="s">
        <v>41</v>
      </c>
      <c r="E227" s="24">
        <v>1.0</v>
      </c>
      <c r="F227" s="40" t="s">
        <v>521</v>
      </c>
      <c r="G227" s="24" t="s">
        <v>35</v>
      </c>
      <c r="H227" s="2">
        <v>10549.0</v>
      </c>
      <c r="I227" s="29" t="str">
        <f t="shared" si="8"/>
        <v>10549-GSB-N/A</v>
      </c>
      <c r="J227" s="32"/>
      <c r="K227" s="24"/>
      <c r="L227" s="24"/>
      <c r="M227" s="33"/>
      <c r="N227" s="33"/>
      <c r="O227" s="33"/>
      <c r="P227" s="33"/>
    </row>
    <row r="228">
      <c r="A228" s="22">
        <v>46275.0</v>
      </c>
      <c r="B228" s="2" t="s">
        <v>252</v>
      </c>
      <c r="C228" s="2" t="s">
        <v>35</v>
      </c>
      <c r="D228" s="2" t="s">
        <v>41</v>
      </c>
      <c r="E228" s="24">
        <v>1.0</v>
      </c>
      <c r="F228" s="40" t="s">
        <v>522</v>
      </c>
      <c r="G228" s="24" t="s">
        <v>35</v>
      </c>
      <c r="H228" s="2">
        <v>10550.0</v>
      </c>
      <c r="I228" s="29" t="str">
        <f t="shared" si="8"/>
        <v>10550-GSB-N/A</v>
      </c>
      <c r="J228" s="32"/>
      <c r="K228" s="24"/>
      <c r="L228" s="24"/>
      <c r="M228" s="33"/>
      <c r="N228" s="33"/>
      <c r="O228" s="33"/>
      <c r="P228" s="33"/>
    </row>
    <row r="229">
      <c r="A229" s="22">
        <v>46275.0</v>
      </c>
      <c r="B229" s="2" t="s">
        <v>252</v>
      </c>
      <c r="C229" s="2" t="s">
        <v>35</v>
      </c>
      <c r="D229" s="2" t="s">
        <v>41</v>
      </c>
      <c r="E229" s="24">
        <v>1.0</v>
      </c>
      <c r="F229" s="40" t="s">
        <v>523</v>
      </c>
      <c r="G229" s="24" t="s">
        <v>35</v>
      </c>
      <c r="H229" s="2">
        <v>10551.0</v>
      </c>
      <c r="I229" s="29" t="str">
        <f t="shared" si="8"/>
        <v>10551-GSB-N/A</v>
      </c>
      <c r="J229" s="32"/>
      <c r="K229" s="24"/>
      <c r="L229" s="24"/>
      <c r="M229" s="33"/>
      <c r="N229" s="33"/>
      <c r="O229" s="33"/>
      <c r="P229" s="33"/>
    </row>
    <row r="230">
      <c r="A230" s="22">
        <v>46275.0</v>
      </c>
      <c r="B230" s="2" t="s">
        <v>252</v>
      </c>
      <c r="C230" s="2" t="s">
        <v>35</v>
      </c>
      <c r="D230" s="2" t="s">
        <v>41</v>
      </c>
      <c r="E230" s="24">
        <v>1.0</v>
      </c>
      <c r="F230" s="40" t="s">
        <v>524</v>
      </c>
      <c r="G230" s="24" t="s">
        <v>35</v>
      </c>
      <c r="H230" s="2">
        <v>10552.0</v>
      </c>
      <c r="I230" s="29" t="str">
        <f t="shared" si="8"/>
        <v>10552-GSB-N/A</v>
      </c>
      <c r="J230" s="32"/>
      <c r="K230" s="24"/>
      <c r="L230" s="24"/>
      <c r="M230" s="33"/>
      <c r="N230" s="33"/>
      <c r="O230" s="33"/>
      <c r="P230" s="33"/>
    </row>
    <row r="231">
      <c r="A231" s="22">
        <v>46275.0</v>
      </c>
      <c r="B231" s="2" t="s">
        <v>252</v>
      </c>
      <c r="C231" s="2" t="s">
        <v>35</v>
      </c>
      <c r="D231" s="2" t="s">
        <v>41</v>
      </c>
      <c r="E231" s="24">
        <v>1.0</v>
      </c>
      <c r="F231" s="40" t="s">
        <v>528</v>
      </c>
      <c r="G231" s="24" t="s">
        <v>35</v>
      </c>
      <c r="H231" s="2">
        <v>10553.0</v>
      </c>
      <c r="I231" s="29" t="str">
        <f t="shared" si="8"/>
        <v>10553-GSB-N/A</v>
      </c>
      <c r="J231" s="32"/>
      <c r="K231" s="24"/>
      <c r="L231" s="24"/>
      <c r="M231" s="33"/>
      <c r="N231" s="33"/>
      <c r="O231" s="33"/>
      <c r="P231" s="33"/>
    </row>
    <row r="232">
      <c r="A232" s="22">
        <v>46275.0</v>
      </c>
      <c r="B232" s="2" t="s">
        <v>252</v>
      </c>
      <c r="C232" s="2" t="s">
        <v>35</v>
      </c>
      <c r="D232" s="2" t="s">
        <v>41</v>
      </c>
      <c r="E232" s="24">
        <v>1.0</v>
      </c>
      <c r="F232" s="40" t="s">
        <v>532</v>
      </c>
      <c r="G232" s="24" t="s">
        <v>35</v>
      </c>
      <c r="H232" s="2">
        <v>10554.0</v>
      </c>
      <c r="I232" s="29" t="str">
        <f t="shared" si="8"/>
        <v>10554-GSB-N/A</v>
      </c>
      <c r="J232" s="32"/>
      <c r="K232" s="24"/>
      <c r="L232" s="24"/>
      <c r="M232" s="33"/>
      <c r="N232" s="33"/>
      <c r="O232" s="33"/>
      <c r="P232" s="33"/>
    </row>
    <row r="233">
      <c r="A233" s="22">
        <v>46275.0</v>
      </c>
      <c r="B233" s="2" t="s">
        <v>252</v>
      </c>
      <c r="C233" s="2" t="s">
        <v>35</v>
      </c>
      <c r="D233" s="2" t="s">
        <v>41</v>
      </c>
      <c r="E233" s="24">
        <v>1.0</v>
      </c>
      <c r="F233" s="40" t="s">
        <v>534</v>
      </c>
      <c r="G233" s="24" t="s">
        <v>35</v>
      </c>
      <c r="H233" s="2">
        <v>10555.0</v>
      </c>
      <c r="I233" s="29" t="str">
        <f t="shared" si="8"/>
        <v>10555-GSB-N/A</v>
      </c>
      <c r="J233" s="32"/>
      <c r="K233" s="24"/>
      <c r="L233" s="24"/>
      <c r="M233" s="33"/>
      <c r="N233" s="33"/>
      <c r="O233" s="33"/>
      <c r="P233" s="33"/>
    </row>
    <row r="234">
      <c r="A234" s="22">
        <v>45897.0</v>
      </c>
      <c r="B234" s="24">
        <v>2.093501849E9</v>
      </c>
      <c r="C234" s="2" t="s">
        <v>108</v>
      </c>
      <c r="D234" s="2" t="s">
        <v>43</v>
      </c>
      <c r="E234" s="24">
        <v>1.0</v>
      </c>
      <c r="F234" s="24" t="s">
        <v>35</v>
      </c>
      <c r="G234" s="26">
        <v>2.503380322E9</v>
      </c>
      <c r="H234" s="2">
        <v>7434.0</v>
      </c>
      <c r="I234" s="29" t="str">
        <f t="shared" ref="I234:I238" si="9">CONCATENATE(H234,"-","GSB","-",F234)</f>
        <v>7434-GSB-N/A</v>
      </c>
      <c r="J234" s="32"/>
      <c r="K234" s="24"/>
      <c r="L234" s="24"/>
      <c r="M234" s="33"/>
      <c r="N234" s="33"/>
      <c r="O234" s="33"/>
      <c r="P234" s="33"/>
    </row>
    <row r="235">
      <c r="A235" s="22">
        <v>45897.0</v>
      </c>
      <c r="B235" s="24">
        <v>2.093501849E9</v>
      </c>
      <c r="C235" s="2" t="s">
        <v>108</v>
      </c>
      <c r="D235" s="2" t="s">
        <v>43</v>
      </c>
      <c r="E235" s="24">
        <v>1.0</v>
      </c>
      <c r="F235" s="24" t="s">
        <v>35</v>
      </c>
      <c r="G235" s="26">
        <v>2.503380634E9</v>
      </c>
      <c r="H235" s="2">
        <v>7491.0</v>
      </c>
      <c r="I235" s="29" t="str">
        <f t="shared" si="9"/>
        <v>7491-GSB-N/A</v>
      </c>
      <c r="J235" s="32"/>
      <c r="K235" s="24"/>
      <c r="L235" s="24"/>
      <c r="M235" s="33"/>
      <c r="N235" s="33"/>
      <c r="O235" s="33"/>
      <c r="P235" s="33"/>
    </row>
    <row r="236">
      <c r="A236" s="22">
        <v>45897.0</v>
      </c>
      <c r="B236" s="24">
        <v>46195.64260555556</v>
      </c>
      <c r="C236" s="2" t="s">
        <v>108</v>
      </c>
      <c r="D236" s="2" t="s">
        <v>43</v>
      </c>
      <c r="E236" s="24">
        <v>1.0</v>
      </c>
      <c r="F236" s="24" t="s">
        <v>35</v>
      </c>
      <c r="G236" s="26">
        <v>2.503380871E9</v>
      </c>
      <c r="H236" s="2">
        <v>7505.0</v>
      </c>
      <c r="I236" s="29" t="str">
        <f t="shared" si="9"/>
        <v>7505-GSB-N/A</v>
      </c>
      <c r="J236" s="32"/>
      <c r="K236" s="24"/>
      <c r="L236" s="24"/>
      <c r="M236" s="33"/>
      <c r="N236" s="33"/>
      <c r="O236" s="33"/>
      <c r="P236" s="33"/>
    </row>
    <row r="237">
      <c r="A237" s="22">
        <v>45897.0</v>
      </c>
      <c r="B237" s="24">
        <v>46195.64324613426</v>
      </c>
      <c r="C237" s="2" t="s">
        <v>108</v>
      </c>
      <c r="D237" s="2" t="s">
        <v>43</v>
      </c>
      <c r="E237" s="24">
        <v>1.0</v>
      </c>
      <c r="F237" s="24" t="s">
        <v>35</v>
      </c>
      <c r="G237" s="26">
        <v>2.503380632E9</v>
      </c>
      <c r="H237" s="2">
        <v>7438.0</v>
      </c>
      <c r="I237" s="29" t="str">
        <f t="shared" si="9"/>
        <v>7438-GSB-N/A</v>
      </c>
      <c r="J237" s="32"/>
      <c r="K237" s="24"/>
      <c r="L237" s="24"/>
      <c r="M237" s="33"/>
      <c r="N237" s="33"/>
      <c r="O237" s="33"/>
      <c r="P237" s="33"/>
    </row>
    <row r="238">
      <c r="A238" s="22">
        <v>45897.0</v>
      </c>
      <c r="B238" s="24">
        <v>2.093501849E9</v>
      </c>
      <c r="C238" s="2" t="s">
        <v>108</v>
      </c>
      <c r="D238" s="2" t="s">
        <v>43</v>
      </c>
      <c r="E238" s="24">
        <v>1.0</v>
      </c>
      <c r="F238" s="24" t="s">
        <v>35</v>
      </c>
      <c r="G238" s="26">
        <v>2.503380506E9</v>
      </c>
      <c r="H238" s="2">
        <v>7423.0</v>
      </c>
      <c r="I238" s="29" t="str">
        <f t="shared" si="9"/>
        <v>7423-GSB-N/A</v>
      </c>
      <c r="J238" s="32"/>
      <c r="K238" s="24"/>
      <c r="L238" s="24"/>
      <c r="M238" s="33"/>
      <c r="N238" s="33"/>
      <c r="O238" s="33"/>
      <c r="P238" s="33"/>
    </row>
    <row r="239">
      <c r="A239" s="22">
        <v>46253.0</v>
      </c>
      <c r="B239" s="24" t="s">
        <v>35</v>
      </c>
      <c r="C239" s="2" t="s">
        <v>108</v>
      </c>
      <c r="D239" s="2" t="s">
        <v>43</v>
      </c>
      <c r="E239" s="24">
        <v>1.0</v>
      </c>
      <c r="F239" s="24" t="s">
        <v>538</v>
      </c>
      <c r="G239" s="26" t="s">
        <v>35</v>
      </c>
      <c r="H239" s="2">
        <v>10502.0</v>
      </c>
      <c r="I239" s="29" t="str">
        <f t="shared" ref="I239:I244" si="10">CONCATENATE(H239,"-","GSB","-",G239)</f>
        <v>10502-GSB-N/A</v>
      </c>
      <c r="J239" s="32"/>
      <c r="K239" s="24"/>
      <c r="L239" s="24"/>
      <c r="M239" s="33"/>
      <c r="N239" s="33"/>
      <c r="O239" s="33"/>
      <c r="P239" s="33"/>
    </row>
    <row r="240">
      <c r="A240" s="22">
        <v>46253.0</v>
      </c>
      <c r="B240" s="24" t="s">
        <v>35</v>
      </c>
      <c r="C240" s="2" t="s">
        <v>108</v>
      </c>
      <c r="D240" s="2" t="s">
        <v>43</v>
      </c>
      <c r="E240" s="24">
        <v>1.0</v>
      </c>
      <c r="F240" s="24" t="s">
        <v>541</v>
      </c>
      <c r="G240" s="26" t="s">
        <v>35</v>
      </c>
      <c r="H240" s="2">
        <v>10503.0</v>
      </c>
      <c r="I240" s="29" t="str">
        <f t="shared" si="10"/>
        <v>10503-GSB-N/A</v>
      </c>
      <c r="J240" s="32"/>
      <c r="K240" s="24"/>
      <c r="L240" s="24"/>
      <c r="M240" s="33"/>
      <c r="N240" s="33"/>
      <c r="O240" s="33"/>
      <c r="P240" s="33"/>
    </row>
    <row r="241">
      <c r="A241" s="22">
        <v>46253.0</v>
      </c>
      <c r="B241" s="24" t="s">
        <v>35</v>
      </c>
      <c r="C241" s="2" t="s">
        <v>108</v>
      </c>
      <c r="D241" s="2" t="s">
        <v>43</v>
      </c>
      <c r="E241" s="24">
        <v>1.0</v>
      </c>
      <c r="F241" s="24" t="s">
        <v>543</v>
      </c>
      <c r="G241" s="26" t="s">
        <v>35</v>
      </c>
      <c r="H241" s="2">
        <v>10504.0</v>
      </c>
      <c r="I241" s="29" t="str">
        <f t="shared" si="10"/>
        <v>10504-GSB-N/A</v>
      </c>
      <c r="J241" s="32"/>
      <c r="K241" s="24"/>
      <c r="L241" s="24"/>
      <c r="M241" s="33"/>
      <c r="N241" s="33"/>
      <c r="O241" s="33"/>
      <c r="P241" s="33"/>
    </row>
    <row r="242">
      <c r="A242" s="22">
        <v>46253.0</v>
      </c>
      <c r="B242" s="24" t="s">
        <v>35</v>
      </c>
      <c r="C242" s="2" t="s">
        <v>108</v>
      </c>
      <c r="D242" s="2" t="s">
        <v>43</v>
      </c>
      <c r="E242" s="24">
        <v>1.0</v>
      </c>
      <c r="F242" s="24" t="s">
        <v>545</v>
      </c>
      <c r="G242" s="26" t="s">
        <v>35</v>
      </c>
      <c r="H242" s="2">
        <v>10505.0</v>
      </c>
      <c r="I242" s="29" t="str">
        <f t="shared" si="10"/>
        <v>10505-GSB-N/A</v>
      </c>
      <c r="J242" s="32"/>
      <c r="K242" s="24"/>
      <c r="L242" s="24"/>
      <c r="M242" s="33"/>
      <c r="N242" s="33"/>
      <c r="O242" s="33"/>
      <c r="P242" s="33"/>
    </row>
    <row r="243">
      <c r="A243" s="22">
        <v>46253.0</v>
      </c>
      <c r="B243" s="24" t="s">
        <v>35</v>
      </c>
      <c r="C243" s="2" t="s">
        <v>108</v>
      </c>
      <c r="D243" s="2" t="s">
        <v>43</v>
      </c>
      <c r="E243" s="24">
        <v>1.0</v>
      </c>
      <c r="F243" s="24" t="s">
        <v>547</v>
      </c>
      <c r="G243" s="26" t="s">
        <v>35</v>
      </c>
      <c r="H243" s="2">
        <v>10506.0</v>
      </c>
      <c r="I243" s="29" t="str">
        <f t="shared" si="10"/>
        <v>10506-GSB-N/A</v>
      </c>
      <c r="J243" s="32"/>
      <c r="K243" s="24"/>
      <c r="L243" s="24"/>
      <c r="M243" s="33"/>
      <c r="N243" s="33"/>
      <c r="O243" s="33"/>
      <c r="P243" s="33"/>
    </row>
    <row r="244">
      <c r="A244" s="22">
        <v>46253.0</v>
      </c>
      <c r="B244" s="24" t="s">
        <v>35</v>
      </c>
      <c r="C244" s="2" t="s">
        <v>108</v>
      </c>
      <c r="D244" s="2" t="s">
        <v>43</v>
      </c>
      <c r="E244" s="24">
        <v>1.0</v>
      </c>
      <c r="F244" s="24" t="s">
        <v>548</v>
      </c>
      <c r="G244" s="26" t="s">
        <v>35</v>
      </c>
      <c r="H244" s="2">
        <v>10507.0</v>
      </c>
      <c r="I244" s="29" t="str">
        <f t="shared" si="10"/>
        <v>10507-GSB-N/A</v>
      </c>
      <c r="J244" s="32"/>
      <c r="K244" s="24"/>
      <c r="L244" s="24"/>
      <c r="M244" s="33"/>
      <c r="N244" s="33"/>
      <c r="O244" s="33"/>
      <c r="P244" s="33"/>
    </row>
    <row r="245">
      <c r="A245" s="22">
        <v>45897.0</v>
      </c>
      <c r="B245" s="24">
        <v>2.093501849E9</v>
      </c>
      <c r="C245" s="2" t="s">
        <v>202</v>
      </c>
      <c r="D245" s="2" t="s">
        <v>45</v>
      </c>
      <c r="E245" s="24">
        <v>1.0</v>
      </c>
      <c r="F245" s="24" t="s">
        <v>35</v>
      </c>
      <c r="G245" s="26" t="s">
        <v>549</v>
      </c>
      <c r="H245" s="2">
        <v>5927.0</v>
      </c>
      <c r="I245" s="29" t="str">
        <f t="shared" ref="I245:I260" si="11">CONCATENATE(H245,"-","GSB","-",F245)</f>
        <v>5927-GSB-N/A</v>
      </c>
      <c r="J245" s="32"/>
      <c r="K245" s="24"/>
      <c r="L245" s="24"/>
      <c r="M245" s="33"/>
      <c r="N245" s="33"/>
      <c r="O245" s="33"/>
      <c r="P245" s="33"/>
    </row>
    <row r="246">
      <c r="A246" s="22">
        <v>45897.0</v>
      </c>
      <c r="B246" s="24">
        <v>2.093501849E9</v>
      </c>
      <c r="C246" s="2" t="s">
        <v>202</v>
      </c>
      <c r="D246" s="2" t="s">
        <v>45</v>
      </c>
      <c r="E246" s="24">
        <v>1.0</v>
      </c>
      <c r="F246" s="24" t="s">
        <v>35</v>
      </c>
      <c r="G246" s="26" t="s">
        <v>553</v>
      </c>
      <c r="H246" s="2">
        <v>5399.0</v>
      </c>
      <c r="I246" s="29" t="str">
        <f t="shared" si="11"/>
        <v>5399-GSB-N/A</v>
      </c>
      <c r="J246" s="29"/>
      <c r="K246" s="29"/>
      <c r="L246" s="89"/>
      <c r="M246" s="33"/>
      <c r="N246" s="33"/>
      <c r="O246" s="51"/>
      <c r="P246" s="90"/>
    </row>
    <row r="247">
      <c r="A247" s="22">
        <v>46184.0</v>
      </c>
      <c r="B247" s="24" t="s">
        <v>554</v>
      </c>
      <c r="C247" s="2" t="s">
        <v>202</v>
      </c>
      <c r="D247" s="2" t="s">
        <v>45</v>
      </c>
      <c r="E247" s="24">
        <v>1.0</v>
      </c>
      <c r="F247" s="24" t="s">
        <v>555</v>
      </c>
      <c r="G247" s="26" t="s">
        <v>557</v>
      </c>
      <c r="H247" s="2">
        <v>5394.0</v>
      </c>
      <c r="I247" s="29" t="str">
        <f t="shared" si="11"/>
        <v>5394-GSB-SDS/1033014</v>
      </c>
      <c r="J247" s="32"/>
      <c r="K247" s="24"/>
      <c r="L247" s="24"/>
      <c r="M247" s="33"/>
      <c r="N247" s="33"/>
      <c r="O247" s="33"/>
      <c r="P247" s="33"/>
    </row>
    <row r="248">
      <c r="A248" s="22" t="s">
        <v>35</v>
      </c>
      <c r="B248" s="24" t="s">
        <v>35</v>
      </c>
      <c r="C248" s="2">
        <v>7.81410000872E11</v>
      </c>
      <c r="D248" s="2" t="s">
        <v>46</v>
      </c>
      <c r="E248" s="24">
        <v>1.0</v>
      </c>
      <c r="F248" s="24" t="s">
        <v>35</v>
      </c>
      <c r="G248" s="26" t="s">
        <v>35</v>
      </c>
      <c r="H248" s="2">
        <v>9066.0</v>
      </c>
      <c r="I248" s="29" t="str">
        <f t="shared" si="11"/>
        <v>9066-GSB-N/A</v>
      </c>
      <c r="J248" s="32"/>
      <c r="K248" s="24"/>
      <c r="L248" s="24"/>
      <c r="M248" s="33"/>
      <c r="N248" s="33"/>
      <c r="O248" s="33"/>
      <c r="P248" s="33"/>
    </row>
    <row r="249">
      <c r="A249" s="22" t="s">
        <v>35</v>
      </c>
      <c r="B249" s="24" t="s">
        <v>35</v>
      </c>
      <c r="C249" s="2">
        <v>7.81410000872E11</v>
      </c>
      <c r="D249" s="2" t="s">
        <v>46</v>
      </c>
      <c r="E249" s="24">
        <v>1.0</v>
      </c>
      <c r="F249" s="24" t="s">
        <v>35</v>
      </c>
      <c r="G249" s="26" t="s">
        <v>35</v>
      </c>
      <c r="H249" s="2">
        <v>9067.0</v>
      </c>
      <c r="I249" s="29" t="str">
        <f t="shared" si="11"/>
        <v>9067-GSB-N/A</v>
      </c>
      <c r="J249" s="32"/>
      <c r="K249" s="24"/>
      <c r="L249" s="24"/>
      <c r="M249" s="33"/>
      <c r="N249" s="33"/>
      <c r="O249" s="33"/>
      <c r="P249" s="33"/>
    </row>
    <row r="250">
      <c r="A250" s="22">
        <v>46085.0</v>
      </c>
      <c r="B250" s="24" t="s">
        <v>135</v>
      </c>
      <c r="C250" s="2">
        <v>6.76544009023E11</v>
      </c>
      <c r="D250" s="2" t="s">
        <v>47</v>
      </c>
      <c r="E250" s="24">
        <v>1.0</v>
      </c>
      <c r="F250" s="24" t="s">
        <v>35</v>
      </c>
      <c r="G250" s="26" t="s">
        <v>35</v>
      </c>
      <c r="H250" s="2">
        <v>10099.0</v>
      </c>
      <c r="I250" s="29" t="str">
        <f t="shared" si="11"/>
        <v>10099-GSB-N/A</v>
      </c>
      <c r="J250" s="32"/>
      <c r="K250" s="24"/>
      <c r="L250" s="24"/>
      <c r="M250" s="33"/>
      <c r="N250" s="33"/>
      <c r="O250" s="33"/>
      <c r="P250" s="33"/>
    </row>
    <row r="251">
      <c r="A251" s="22">
        <v>46085.0</v>
      </c>
      <c r="B251" s="24" t="s">
        <v>135</v>
      </c>
      <c r="C251" s="2">
        <v>6.76544009023E11</v>
      </c>
      <c r="D251" s="2" t="s">
        <v>47</v>
      </c>
      <c r="E251" s="24">
        <v>1.0</v>
      </c>
      <c r="F251" s="24" t="s">
        <v>35</v>
      </c>
      <c r="G251" s="26" t="s">
        <v>35</v>
      </c>
      <c r="H251" s="2">
        <v>10100.0</v>
      </c>
      <c r="I251" s="29" t="str">
        <f t="shared" si="11"/>
        <v>10100-GSB-N/A</v>
      </c>
      <c r="J251" s="32"/>
      <c r="K251" s="24"/>
      <c r="L251" s="24"/>
      <c r="M251" s="33"/>
      <c r="N251" s="33"/>
      <c r="O251" s="33"/>
      <c r="P251" s="33"/>
    </row>
    <row r="252">
      <c r="A252" s="22">
        <v>46085.0</v>
      </c>
      <c r="B252" s="24" t="s">
        <v>135</v>
      </c>
      <c r="C252" s="2">
        <v>6.76544009023E11</v>
      </c>
      <c r="D252" s="2" t="s">
        <v>47</v>
      </c>
      <c r="E252" s="24">
        <v>1.0</v>
      </c>
      <c r="F252" s="24" t="s">
        <v>35</v>
      </c>
      <c r="G252" s="26" t="s">
        <v>35</v>
      </c>
      <c r="H252" s="2">
        <v>10101.0</v>
      </c>
      <c r="I252" s="29" t="str">
        <f t="shared" si="11"/>
        <v>10101-GSB-N/A</v>
      </c>
      <c r="J252" s="32"/>
      <c r="K252" s="24"/>
      <c r="L252" s="24"/>
      <c r="M252" s="33"/>
      <c r="N252" s="33"/>
      <c r="O252" s="33"/>
      <c r="P252" s="33"/>
    </row>
    <row r="253">
      <c r="A253" s="22">
        <v>46085.0</v>
      </c>
      <c r="B253" s="24" t="s">
        <v>135</v>
      </c>
      <c r="C253" s="2">
        <v>6.76544009023E11</v>
      </c>
      <c r="D253" s="2" t="s">
        <v>47</v>
      </c>
      <c r="E253" s="24">
        <v>1.0</v>
      </c>
      <c r="F253" s="24" t="s">
        <v>35</v>
      </c>
      <c r="G253" s="26" t="s">
        <v>35</v>
      </c>
      <c r="H253" s="2">
        <v>10104.0</v>
      </c>
      <c r="I253" s="29" t="str">
        <f t="shared" si="11"/>
        <v>10104-GSB-N/A</v>
      </c>
      <c r="J253" s="32"/>
      <c r="K253" s="24"/>
      <c r="L253" s="24"/>
      <c r="M253" s="33"/>
      <c r="N253" s="33"/>
      <c r="O253" s="33"/>
      <c r="P253" s="33"/>
    </row>
    <row r="254">
      <c r="A254" s="22">
        <v>46087.0</v>
      </c>
      <c r="B254" s="24" t="s">
        <v>467</v>
      </c>
      <c r="C254" s="2">
        <v>6.76544009023E11</v>
      </c>
      <c r="D254" s="2" t="s">
        <v>47</v>
      </c>
      <c r="E254" s="24">
        <v>1.0</v>
      </c>
      <c r="F254" s="24" t="s">
        <v>35</v>
      </c>
      <c r="G254" s="26" t="s">
        <v>35</v>
      </c>
      <c r="H254" s="2">
        <v>10110.0</v>
      </c>
      <c r="I254" s="29" t="str">
        <f t="shared" si="11"/>
        <v>10110-GSB-N/A</v>
      </c>
      <c r="J254" s="32"/>
      <c r="K254" s="24"/>
      <c r="L254" s="24"/>
      <c r="M254" s="33"/>
      <c r="N254" s="33"/>
      <c r="O254" s="33"/>
      <c r="P254" s="33"/>
    </row>
    <row r="255">
      <c r="A255" s="22">
        <v>46209.0</v>
      </c>
      <c r="B255" s="24" t="s">
        <v>438</v>
      </c>
      <c r="C255" s="2" t="s">
        <v>35</v>
      </c>
      <c r="D255" s="2" t="s">
        <v>47</v>
      </c>
      <c r="E255" s="24">
        <v>1.0</v>
      </c>
      <c r="F255" s="24" t="s">
        <v>35</v>
      </c>
      <c r="G255" s="26" t="s">
        <v>35</v>
      </c>
      <c r="H255" s="2">
        <v>10417.0</v>
      </c>
      <c r="I255" s="29" t="str">
        <f t="shared" si="11"/>
        <v>10417-GSB-N/A</v>
      </c>
      <c r="J255" s="32"/>
      <c r="K255" s="24"/>
      <c r="L255" s="24"/>
      <c r="M255" s="33"/>
      <c r="N255" s="33"/>
      <c r="O255" s="33"/>
      <c r="P255" s="33"/>
    </row>
    <row r="256">
      <c r="A256" s="22">
        <v>46209.0</v>
      </c>
      <c r="B256" s="24" t="s">
        <v>438</v>
      </c>
      <c r="C256" s="2" t="s">
        <v>35</v>
      </c>
      <c r="D256" s="2" t="s">
        <v>47</v>
      </c>
      <c r="E256" s="24">
        <v>1.0</v>
      </c>
      <c r="F256" s="24" t="s">
        <v>35</v>
      </c>
      <c r="G256" s="26" t="s">
        <v>35</v>
      </c>
      <c r="H256" s="2">
        <v>10418.0</v>
      </c>
      <c r="I256" s="29" t="str">
        <f t="shared" si="11"/>
        <v>10418-GSB-N/A</v>
      </c>
      <c r="J256" s="32"/>
      <c r="K256" s="24"/>
      <c r="L256" s="24"/>
      <c r="M256" s="33"/>
      <c r="N256" s="33"/>
      <c r="O256" s="33"/>
      <c r="P256" s="33"/>
    </row>
    <row r="257">
      <c r="A257" s="22">
        <v>46209.0</v>
      </c>
      <c r="B257" s="24" t="s">
        <v>438</v>
      </c>
      <c r="C257" s="2" t="s">
        <v>35</v>
      </c>
      <c r="D257" s="2" t="s">
        <v>47</v>
      </c>
      <c r="E257" s="24">
        <v>1.0</v>
      </c>
      <c r="F257" s="24" t="s">
        <v>35</v>
      </c>
      <c r="G257" s="26" t="s">
        <v>35</v>
      </c>
      <c r="H257" s="2">
        <v>10421.0</v>
      </c>
      <c r="I257" s="29" t="str">
        <f t="shared" si="11"/>
        <v>10421-GSB-N/A</v>
      </c>
      <c r="J257" s="32"/>
      <c r="K257" s="24"/>
      <c r="L257" s="24"/>
      <c r="M257" s="33"/>
      <c r="N257" s="33"/>
      <c r="O257" s="33"/>
      <c r="P257" s="33"/>
    </row>
    <row r="258">
      <c r="A258" s="22">
        <v>46209.0</v>
      </c>
      <c r="B258" s="24" t="s">
        <v>438</v>
      </c>
      <c r="C258" s="2" t="s">
        <v>35</v>
      </c>
      <c r="D258" s="2" t="s">
        <v>47</v>
      </c>
      <c r="E258" s="24">
        <v>1.0</v>
      </c>
      <c r="F258" s="24" t="s">
        <v>35</v>
      </c>
      <c r="G258" s="26" t="s">
        <v>35</v>
      </c>
      <c r="H258" s="2">
        <v>10424.0</v>
      </c>
      <c r="I258" s="29" t="str">
        <f t="shared" si="11"/>
        <v>10424-GSB-N/A</v>
      </c>
      <c r="J258" s="32"/>
      <c r="K258" s="24"/>
      <c r="L258" s="24"/>
      <c r="M258" s="33"/>
      <c r="N258" s="33"/>
      <c r="O258" s="33"/>
      <c r="P258" s="33"/>
    </row>
    <row r="259">
      <c r="A259" s="22">
        <v>46209.0</v>
      </c>
      <c r="B259" s="24" t="s">
        <v>438</v>
      </c>
      <c r="C259" s="2" t="s">
        <v>35</v>
      </c>
      <c r="D259" s="2" t="s">
        <v>47</v>
      </c>
      <c r="E259" s="24">
        <v>1.0</v>
      </c>
      <c r="F259" s="24" t="s">
        <v>35</v>
      </c>
      <c r="G259" s="26" t="s">
        <v>35</v>
      </c>
      <c r="H259" s="2">
        <v>10425.0</v>
      </c>
      <c r="I259" s="29" t="str">
        <f t="shared" si="11"/>
        <v>10425-GSB-N/A</v>
      </c>
      <c r="J259" s="32"/>
      <c r="K259" s="24"/>
      <c r="L259" s="24"/>
      <c r="M259" s="33"/>
      <c r="N259" s="33"/>
      <c r="O259" s="33"/>
      <c r="P259" s="33"/>
    </row>
    <row r="260">
      <c r="A260" s="22">
        <v>46209.0</v>
      </c>
      <c r="B260" s="24" t="s">
        <v>438</v>
      </c>
      <c r="C260" s="2" t="s">
        <v>35</v>
      </c>
      <c r="D260" s="2" t="s">
        <v>47</v>
      </c>
      <c r="E260" s="24">
        <v>1.0</v>
      </c>
      <c r="F260" s="24" t="s">
        <v>35</v>
      </c>
      <c r="G260" s="26" t="s">
        <v>35</v>
      </c>
      <c r="H260" s="2">
        <v>10426.0</v>
      </c>
      <c r="I260" s="29" t="str">
        <f t="shared" si="11"/>
        <v>10426-GSB-N/A</v>
      </c>
      <c r="J260" s="32"/>
      <c r="K260" s="24"/>
      <c r="L260" s="24"/>
      <c r="M260" s="33"/>
      <c r="N260" s="33"/>
      <c r="O260" s="33"/>
      <c r="P260" s="33"/>
    </row>
    <row r="261">
      <c r="A261" s="22">
        <v>46275.0</v>
      </c>
      <c r="B261" s="2" t="s">
        <v>252</v>
      </c>
      <c r="C261" s="2" t="s">
        <v>35</v>
      </c>
      <c r="D261" s="61" t="s">
        <v>47</v>
      </c>
      <c r="E261" s="24">
        <v>1.0</v>
      </c>
      <c r="F261" s="24" t="s">
        <v>571</v>
      </c>
      <c r="G261" s="24" t="s">
        <v>35</v>
      </c>
      <c r="H261" s="2">
        <v>10556.0</v>
      </c>
      <c r="I261" s="29" t="str">
        <f t="shared" ref="I261:I268" si="12">CONCATENATE(H261,"-","GSB","-",G261)</f>
        <v>10556-GSB-N/A</v>
      </c>
      <c r="J261" s="32"/>
      <c r="K261" s="24"/>
      <c r="L261" s="24"/>
      <c r="M261" s="33"/>
      <c r="N261" s="33"/>
      <c r="O261" s="33"/>
      <c r="P261" s="33"/>
    </row>
    <row r="262">
      <c r="A262" s="22">
        <v>46275.0</v>
      </c>
      <c r="B262" s="2" t="s">
        <v>252</v>
      </c>
      <c r="C262" s="2" t="s">
        <v>35</v>
      </c>
      <c r="D262" s="61" t="s">
        <v>47</v>
      </c>
      <c r="E262" s="24">
        <v>1.0</v>
      </c>
      <c r="F262" s="24" t="s">
        <v>573</v>
      </c>
      <c r="G262" s="24" t="s">
        <v>35</v>
      </c>
      <c r="H262" s="2">
        <v>10557.0</v>
      </c>
      <c r="I262" s="29" t="str">
        <f t="shared" si="12"/>
        <v>10557-GSB-N/A</v>
      </c>
      <c r="J262" s="32"/>
      <c r="K262" s="24"/>
      <c r="L262" s="24"/>
      <c r="M262" s="33"/>
      <c r="N262" s="33"/>
      <c r="O262" s="33"/>
      <c r="P262" s="33"/>
    </row>
    <row r="263">
      <c r="A263" s="22">
        <v>46275.0</v>
      </c>
      <c r="B263" s="2" t="s">
        <v>252</v>
      </c>
      <c r="C263" s="2" t="s">
        <v>35</v>
      </c>
      <c r="D263" s="61" t="s">
        <v>47</v>
      </c>
      <c r="E263" s="24">
        <v>1.0</v>
      </c>
      <c r="F263" s="24" t="s">
        <v>575</v>
      </c>
      <c r="G263" s="24" t="s">
        <v>35</v>
      </c>
      <c r="H263" s="2">
        <v>10558.0</v>
      </c>
      <c r="I263" s="29" t="str">
        <f t="shared" si="12"/>
        <v>10558-GSB-N/A</v>
      </c>
      <c r="J263" s="32"/>
      <c r="K263" s="24"/>
      <c r="L263" s="24"/>
      <c r="M263" s="33"/>
      <c r="N263" s="33"/>
      <c r="O263" s="33"/>
      <c r="P263" s="33"/>
    </row>
    <row r="264">
      <c r="A264" s="22">
        <v>46275.0</v>
      </c>
      <c r="B264" s="2" t="s">
        <v>252</v>
      </c>
      <c r="C264" s="2" t="s">
        <v>35</v>
      </c>
      <c r="D264" s="61" t="s">
        <v>47</v>
      </c>
      <c r="E264" s="24">
        <v>1.0</v>
      </c>
      <c r="F264" s="24" t="s">
        <v>576</v>
      </c>
      <c r="G264" s="24" t="s">
        <v>35</v>
      </c>
      <c r="H264" s="2">
        <v>10559.0</v>
      </c>
      <c r="I264" s="29" t="str">
        <f t="shared" si="12"/>
        <v>10559-GSB-N/A</v>
      </c>
      <c r="J264" s="32"/>
      <c r="K264" s="24"/>
      <c r="L264" s="24"/>
      <c r="M264" s="33"/>
      <c r="N264" s="33"/>
      <c r="O264" s="33"/>
      <c r="P264" s="33"/>
    </row>
    <row r="265">
      <c r="A265" s="22">
        <v>46275.0</v>
      </c>
      <c r="B265" s="2" t="s">
        <v>252</v>
      </c>
      <c r="C265" s="2" t="s">
        <v>35</v>
      </c>
      <c r="D265" s="61" t="s">
        <v>47</v>
      </c>
      <c r="E265" s="24">
        <v>1.0</v>
      </c>
      <c r="F265" s="24" t="s">
        <v>577</v>
      </c>
      <c r="G265" s="24" t="s">
        <v>35</v>
      </c>
      <c r="H265" s="2">
        <v>10560.0</v>
      </c>
      <c r="I265" s="29" t="str">
        <f t="shared" si="12"/>
        <v>10560-GSB-N/A</v>
      </c>
      <c r="J265" s="32"/>
      <c r="K265" s="24"/>
      <c r="L265" s="24"/>
      <c r="M265" s="33"/>
      <c r="N265" s="33"/>
      <c r="O265" s="33"/>
      <c r="P265" s="33"/>
    </row>
    <row r="266">
      <c r="A266" s="22">
        <v>46275.0</v>
      </c>
      <c r="B266" s="2" t="s">
        <v>252</v>
      </c>
      <c r="C266" s="2" t="s">
        <v>35</v>
      </c>
      <c r="D266" s="61" t="s">
        <v>47</v>
      </c>
      <c r="E266" s="24">
        <v>1.0</v>
      </c>
      <c r="F266" s="24" t="s">
        <v>578</v>
      </c>
      <c r="G266" s="24" t="s">
        <v>35</v>
      </c>
      <c r="H266" s="2">
        <v>10561.0</v>
      </c>
      <c r="I266" s="29" t="str">
        <f t="shared" si="12"/>
        <v>10561-GSB-N/A</v>
      </c>
      <c r="J266" s="32"/>
      <c r="K266" s="24"/>
      <c r="L266" s="24"/>
      <c r="M266" s="33"/>
      <c r="N266" s="33"/>
      <c r="O266" s="33"/>
      <c r="P266" s="33"/>
    </row>
    <row r="267">
      <c r="A267" s="22">
        <v>46275.0</v>
      </c>
      <c r="B267" s="2" t="s">
        <v>252</v>
      </c>
      <c r="C267" s="2" t="s">
        <v>35</v>
      </c>
      <c r="D267" s="61" t="s">
        <v>47</v>
      </c>
      <c r="E267" s="24">
        <v>1.0</v>
      </c>
      <c r="F267" s="24" t="s">
        <v>579</v>
      </c>
      <c r="G267" s="24" t="s">
        <v>35</v>
      </c>
      <c r="H267" s="2">
        <v>10562.0</v>
      </c>
      <c r="I267" s="29" t="str">
        <f t="shared" si="12"/>
        <v>10562-GSB-N/A</v>
      </c>
      <c r="J267" s="32"/>
      <c r="K267" s="24"/>
      <c r="L267" s="24"/>
      <c r="M267" s="33"/>
      <c r="N267" s="33"/>
      <c r="O267" s="33"/>
      <c r="P267" s="33"/>
    </row>
    <row r="268">
      <c r="A268" s="22">
        <v>46275.0</v>
      </c>
      <c r="B268" s="2" t="s">
        <v>252</v>
      </c>
      <c r="C268" s="2" t="s">
        <v>35</v>
      </c>
      <c r="D268" s="61" t="s">
        <v>47</v>
      </c>
      <c r="E268" s="24">
        <v>1.0</v>
      </c>
      <c r="F268" s="24" t="s">
        <v>580</v>
      </c>
      <c r="G268" s="24" t="s">
        <v>35</v>
      </c>
      <c r="H268" s="2">
        <v>10563.0</v>
      </c>
      <c r="I268" s="29" t="str">
        <f t="shared" si="12"/>
        <v>10563-GSB-N/A</v>
      </c>
      <c r="J268" s="32"/>
      <c r="K268" s="24"/>
      <c r="L268" s="24"/>
      <c r="M268" s="33"/>
      <c r="N268" s="33"/>
      <c r="O268" s="33"/>
      <c r="P268" s="33"/>
    </row>
    <row r="269">
      <c r="A269" s="22">
        <v>46142.0</v>
      </c>
      <c r="B269" s="24" t="s">
        <v>35</v>
      </c>
      <c r="C269" s="2" t="s">
        <v>35</v>
      </c>
      <c r="D269" s="2" t="s">
        <v>48</v>
      </c>
      <c r="E269" s="24">
        <v>1.0</v>
      </c>
      <c r="F269" s="24" t="s">
        <v>35</v>
      </c>
      <c r="G269" s="26" t="s">
        <v>35</v>
      </c>
      <c r="H269" s="2">
        <v>10162.0</v>
      </c>
      <c r="I269" s="29" t="str">
        <f t="shared" ref="I269:I286" si="13">CONCATENATE(H269,"-","GSB","-",F269)</f>
        <v>10162-GSB-N/A</v>
      </c>
      <c r="J269" s="32"/>
      <c r="K269" s="24"/>
      <c r="L269" s="24"/>
      <c r="M269" s="33"/>
      <c r="N269" s="33"/>
      <c r="O269" s="33"/>
      <c r="P269" s="33"/>
    </row>
    <row r="270">
      <c r="A270" s="22">
        <v>46142.0</v>
      </c>
      <c r="B270" s="24" t="s">
        <v>35</v>
      </c>
      <c r="C270" s="2" t="s">
        <v>35</v>
      </c>
      <c r="D270" s="2" t="s">
        <v>48</v>
      </c>
      <c r="E270" s="24">
        <v>1.0</v>
      </c>
      <c r="F270" s="24" t="s">
        <v>35</v>
      </c>
      <c r="G270" s="26" t="s">
        <v>35</v>
      </c>
      <c r="H270" s="2">
        <v>1765.0</v>
      </c>
      <c r="I270" s="29" t="str">
        <f t="shared" si="13"/>
        <v>1765-GSB-N/A</v>
      </c>
      <c r="J270" s="32"/>
      <c r="K270" s="24"/>
      <c r="L270" s="24"/>
      <c r="M270" s="33"/>
      <c r="N270" s="33"/>
      <c r="O270" s="33"/>
      <c r="P270" s="33"/>
    </row>
    <row r="271">
      <c r="A271" s="22">
        <v>46182.0</v>
      </c>
      <c r="B271" s="24" t="s">
        <v>503</v>
      </c>
      <c r="C271" s="2" t="s">
        <v>581</v>
      </c>
      <c r="D271" s="2" t="s">
        <v>50</v>
      </c>
      <c r="E271" s="24">
        <v>1.0</v>
      </c>
      <c r="F271" s="24" t="s">
        <v>582</v>
      </c>
      <c r="G271" s="26" t="s">
        <v>583</v>
      </c>
      <c r="H271" s="2">
        <v>10227.0</v>
      </c>
      <c r="I271" s="29" t="str">
        <f t="shared" si="13"/>
        <v>10227-GSB-SDS/1043222</v>
      </c>
      <c r="J271" s="32"/>
      <c r="K271" s="24"/>
      <c r="L271" s="24"/>
      <c r="M271" s="33"/>
      <c r="N271" s="33"/>
      <c r="O271" s="51"/>
      <c r="P271" s="93"/>
    </row>
    <row r="272">
      <c r="A272" s="22">
        <v>46253.0</v>
      </c>
      <c r="B272" s="24" t="s">
        <v>35</v>
      </c>
      <c r="C272" s="2" t="s">
        <v>71</v>
      </c>
      <c r="D272" s="2" t="s">
        <v>50</v>
      </c>
      <c r="E272" s="24">
        <v>1.0</v>
      </c>
      <c r="F272" s="24" t="s">
        <v>584</v>
      </c>
      <c r="G272" s="26" t="s">
        <v>585</v>
      </c>
      <c r="H272" s="2">
        <v>10461.0</v>
      </c>
      <c r="I272" s="29" t="str">
        <f t="shared" si="13"/>
        <v>10461-GSB-SDS/1044532</v>
      </c>
      <c r="J272" s="32"/>
      <c r="K272" s="24"/>
      <c r="L272" s="24"/>
      <c r="M272" s="33"/>
      <c r="N272" s="33"/>
      <c r="O272" s="33"/>
      <c r="P272" s="33"/>
    </row>
    <row r="273">
      <c r="A273" s="22">
        <v>46253.0</v>
      </c>
      <c r="B273" s="24" t="s">
        <v>35</v>
      </c>
      <c r="C273" s="2" t="s">
        <v>71</v>
      </c>
      <c r="D273" s="2" t="s">
        <v>50</v>
      </c>
      <c r="E273" s="24">
        <v>1.0</v>
      </c>
      <c r="F273" s="24" t="s">
        <v>586</v>
      </c>
      <c r="G273" s="26" t="s">
        <v>587</v>
      </c>
      <c r="H273" s="2">
        <v>10462.0</v>
      </c>
      <c r="I273" s="29" t="str">
        <f t="shared" si="13"/>
        <v>10462-GSB-SDS/1044545</v>
      </c>
      <c r="J273" s="32"/>
      <c r="K273" s="24"/>
      <c r="L273" s="24"/>
      <c r="M273" s="33"/>
      <c r="N273" s="33"/>
      <c r="O273" s="33"/>
      <c r="P273" s="33"/>
    </row>
    <row r="274">
      <c r="A274" s="22">
        <v>46253.0</v>
      </c>
      <c r="B274" s="24" t="s">
        <v>35</v>
      </c>
      <c r="C274" s="2" t="s">
        <v>71</v>
      </c>
      <c r="D274" s="2" t="s">
        <v>50</v>
      </c>
      <c r="E274" s="24">
        <v>1.0</v>
      </c>
      <c r="F274" s="24" t="s">
        <v>588</v>
      </c>
      <c r="G274" s="26" t="s">
        <v>589</v>
      </c>
      <c r="H274" s="2">
        <v>10463.0</v>
      </c>
      <c r="I274" s="29" t="str">
        <f t="shared" si="13"/>
        <v>10463-GSB-SDS/1044546</v>
      </c>
      <c r="J274" s="32"/>
      <c r="K274" s="24"/>
      <c r="L274" s="24"/>
      <c r="M274" s="33"/>
      <c r="N274" s="33"/>
      <c r="O274" s="33"/>
      <c r="P274" s="33"/>
    </row>
    <row r="275">
      <c r="A275" s="22">
        <v>46253.0</v>
      </c>
      <c r="B275" s="24" t="s">
        <v>35</v>
      </c>
      <c r="C275" s="2" t="s">
        <v>71</v>
      </c>
      <c r="D275" s="2" t="s">
        <v>50</v>
      </c>
      <c r="E275" s="24">
        <v>1.0</v>
      </c>
      <c r="F275" s="24" t="s">
        <v>590</v>
      </c>
      <c r="G275" s="26" t="s">
        <v>591</v>
      </c>
      <c r="H275" s="2">
        <v>10464.0</v>
      </c>
      <c r="I275" s="29" t="str">
        <f t="shared" si="13"/>
        <v>10464-GSB-SDS/1044548</v>
      </c>
      <c r="J275" s="32"/>
      <c r="K275" s="24"/>
      <c r="L275" s="24"/>
      <c r="M275" s="33"/>
      <c r="N275" s="33"/>
      <c r="O275" s="33"/>
      <c r="P275" s="33"/>
    </row>
    <row r="276">
      <c r="A276" s="22">
        <v>46253.0</v>
      </c>
      <c r="B276" s="24" t="s">
        <v>35</v>
      </c>
      <c r="C276" s="2" t="s">
        <v>71</v>
      </c>
      <c r="D276" s="2" t="s">
        <v>50</v>
      </c>
      <c r="E276" s="24">
        <v>1.0</v>
      </c>
      <c r="F276" s="24" t="s">
        <v>592</v>
      </c>
      <c r="G276" s="26" t="s">
        <v>593</v>
      </c>
      <c r="H276" s="2">
        <v>10465.0</v>
      </c>
      <c r="I276" s="29" t="str">
        <f t="shared" si="13"/>
        <v>10465-GSB-SDS/1044534</v>
      </c>
      <c r="J276" s="32"/>
      <c r="K276" s="24"/>
      <c r="L276" s="24"/>
      <c r="M276" s="33"/>
      <c r="N276" s="33"/>
      <c r="O276" s="33"/>
      <c r="P276" s="33"/>
    </row>
    <row r="277">
      <c r="A277" s="22">
        <v>46253.0</v>
      </c>
      <c r="B277" s="24" t="s">
        <v>35</v>
      </c>
      <c r="C277" s="2" t="s">
        <v>71</v>
      </c>
      <c r="D277" s="2" t="s">
        <v>50</v>
      </c>
      <c r="E277" s="24">
        <v>1.0</v>
      </c>
      <c r="F277" s="24" t="s">
        <v>594</v>
      </c>
      <c r="G277" s="26" t="s">
        <v>595</v>
      </c>
      <c r="H277" s="2">
        <v>10466.0</v>
      </c>
      <c r="I277" s="29" t="str">
        <f t="shared" si="13"/>
        <v>10466-GSB-SDS/1044540</v>
      </c>
      <c r="J277" s="32"/>
      <c r="K277" s="24"/>
      <c r="L277" s="24"/>
      <c r="M277" s="33"/>
      <c r="N277" s="33"/>
      <c r="O277" s="33"/>
      <c r="P277" s="33"/>
    </row>
    <row r="278">
      <c r="A278" s="22">
        <v>46253.0</v>
      </c>
      <c r="B278" s="24" t="s">
        <v>35</v>
      </c>
      <c r="C278" s="2" t="s">
        <v>71</v>
      </c>
      <c r="D278" s="2" t="s">
        <v>50</v>
      </c>
      <c r="E278" s="24">
        <v>1.0</v>
      </c>
      <c r="F278" s="24" t="s">
        <v>596</v>
      </c>
      <c r="G278" s="26" t="s">
        <v>597</v>
      </c>
      <c r="H278" s="2">
        <v>10467.0</v>
      </c>
      <c r="I278" s="29" t="str">
        <f t="shared" si="13"/>
        <v>10467-GSB-SDS/1044542</v>
      </c>
      <c r="J278" s="32"/>
      <c r="K278" s="24"/>
      <c r="L278" s="24"/>
      <c r="M278" s="33"/>
      <c r="N278" s="33"/>
      <c r="O278" s="33"/>
      <c r="P278" s="33"/>
    </row>
    <row r="279">
      <c r="A279" s="22">
        <v>46253.0</v>
      </c>
      <c r="B279" s="24" t="s">
        <v>35</v>
      </c>
      <c r="C279" s="2" t="s">
        <v>71</v>
      </c>
      <c r="D279" s="2" t="s">
        <v>50</v>
      </c>
      <c r="E279" s="24">
        <v>1.0</v>
      </c>
      <c r="F279" s="24" t="s">
        <v>598</v>
      </c>
      <c r="G279" s="26" t="s">
        <v>599</v>
      </c>
      <c r="H279" s="2">
        <v>10468.0</v>
      </c>
      <c r="I279" s="29" t="str">
        <f t="shared" si="13"/>
        <v>10468-GSB-SDS/1044539</v>
      </c>
      <c r="J279" s="32"/>
      <c r="K279" s="24"/>
      <c r="L279" s="24"/>
      <c r="M279" s="33"/>
      <c r="N279" s="33"/>
      <c r="O279" s="33"/>
      <c r="P279" s="33"/>
    </row>
    <row r="280">
      <c r="A280" s="22">
        <v>46253.0</v>
      </c>
      <c r="B280" s="24" t="s">
        <v>35</v>
      </c>
      <c r="C280" s="2" t="s">
        <v>71</v>
      </c>
      <c r="D280" s="2" t="s">
        <v>50</v>
      </c>
      <c r="E280" s="24">
        <v>1.0</v>
      </c>
      <c r="F280" s="24" t="s">
        <v>600</v>
      </c>
      <c r="G280" s="26" t="s">
        <v>601</v>
      </c>
      <c r="H280" s="2">
        <v>10469.0</v>
      </c>
      <c r="I280" s="29" t="str">
        <f t="shared" si="13"/>
        <v>10469-GSB-SDS/1044538</v>
      </c>
      <c r="J280" s="32"/>
      <c r="K280" s="24"/>
      <c r="L280" s="24"/>
      <c r="M280" s="33"/>
      <c r="N280" s="33"/>
      <c r="O280" s="33"/>
      <c r="P280" s="33"/>
    </row>
    <row r="281">
      <c r="A281" s="22">
        <v>46253.0</v>
      </c>
      <c r="B281" s="24" t="s">
        <v>35</v>
      </c>
      <c r="C281" s="2" t="s">
        <v>71</v>
      </c>
      <c r="D281" s="2" t="s">
        <v>50</v>
      </c>
      <c r="E281" s="24">
        <v>1.0</v>
      </c>
      <c r="F281" s="24" t="s">
        <v>602</v>
      </c>
      <c r="G281" s="26" t="s">
        <v>603</v>
      </c>
      <c r="H281" s="2">
        <v>10470.0</v>
      </c>
      <c r="I281" s="29" t="str">
        <f t="shared" si="13"/>
        <v>10470-GSB-SDS/1044536</v>
      </c>
      <c r="J281" s="32"/>
      <c r="K281" s="24"/>
      <c r="L281" s="24"/>
      <c r="M281" s="33"/>
      <c r="N281" s="33"/>
      <c r="O281" s="33"/>
      <c r="P281" s="33"/>
    </row>
    <row r="282">
      <c r="A282" s="22">
        <v>46253.0</v>
      </c>
      <c r="B282" s="24" t="s">
        <v>35</v>
      </c>
      <c r="C282" s="2" t="s">
        <v>71</v>
      </c>
      <c r="D282" s="2" t="s">
        <v>50</v>
      </c>
      <c r="E282" s="24">
        <v>1.0</v>
      </c>
      <c r="F282" s="24" t="s">
        <v>604</v>
      </c>
      <c r="G282" s="26" t="s">
        <v>605</v>
      </c>
      <c r="H282" s="2">
        <v>10471.0</v>
      </c>
      <c r="I282" s="29" t="str">
        <f t="shared" si="13"/>
        <v>10471-GSB-SDS/1044537</v>
      </c>
      <c r="J282" s="32"/>
      <c r="K282" s="24"/>
      <c r="L282" s="24"/>
      <c r="M282" s="33"/>
      <c r="N282" s="33"/>
      <c r="O282" s="33"/>
      <c r="P282" s="33"/>
    </row>
    <row r="283">
      <c r="A283" s="22">
        <v>46253.0</v>
      </c>
      <c r="B283" s="24" t="s">
        <v>35</v>
      </c>
      <c r="C283" s="2" t="s">
        <v>71</v>
      </c>
      <c r="D283" s="2" t="s">
        <v>50</v>
      </c>
      <c r="E283" s="24">
        <v>1.0</v>
      </c>
      <c r="F283" s="24" t="s">
        <v>606</v>
      </c>
      <c r="G283" s="26" t="s">
        <v>607</v>
      </c>
      <c r="H283" s="2">
        <v>10472.0</v>
      </c>
      <c r="I283" s="29" t="str">
        <f t="shared" si="13"/>
        <v>10472-GSB-SDS/1044533</v>
      </c>
      <c r="J283" s="32"/>
      <c r="K283" s="24"/>
      <c r="L283" s="24"/>
      <c r="M283" s="33"/>
      <c r="N283" s="33"/>
      <c r="O283" s="33"/>
      <c r="P283" s="33"/>
    </row>
    <row r="284">
      <c r="A284" s="22">
        <v>46253.0</v>
      </c>
      <c r="B284" s="24" t="s">
        <v>35</v>
      </c>
      <c r="C284" s="2" t="s">
        <v>71</v>
      </c>
      <c r="D284" s="2" t="s">
        <v>50</v>
      </c>
      <c r="E284" s="24">
        <v>1.0</v>
      </c>
      <c r="F284" s="24" t="s">
        <v>608</v>
      </c>
      <c r="G284" s="26" t="s">
        <v>609</v>
      </c>
      <c r="H284" s="2">
        <v>10473.0</v>
      </c>
      <c r="I284" s="29" t="str">
        <f t="shared" si="13"/>
        <v>10473-GSB-SDS/1044543</v>
      </c>
      <c r="J284" s="32"/>
      <c r="K284" s="24"/>
      <c r="L284" s="24"/>
      <c r="M284" s="33"/>
      <c r="N284" s="33"/>
      <c r="O284" s="33"/>
      <c r="P284" s="33"/>
    </row>
    <row r="285">
      <c r="A285" s="22">
        <v>46253.0</v>
      </c>
      <c r="B285" s="24" t="s">
        <v>35</v>
      </c>
      <c r="C285" s="2" t="s">
        <v>71</v>
      </c>
      <c r="D285" s="2" t="s">
        <v>50</v>
      </c>
      <c r="E285" s="24">
        <v>1.0</v>
      </c>
      <c r="F285" s="24" t="s">
        <v>610</v>
      </c>
      <c r="G285" s="26" t="s">
        <v>611</v>
      </c>
      <c r="H285" s="2">
        <v>10474.0</v>
      </c>
      <c r="I285" s="29" t="str">
        <f t="shared" si="13"/>
        <v>10474-GSB-SDS1044544</v>
      </c>
      <c r="J285" s="32"/>
      <c r="K285" s="24"/>
      <c r="L285" s="24"/>
      <c r="M285" s="33"/>
      <c r="N285" s="33"/>
      <c r="O285" s="33"/>
      <c r="P285" s="33"/>
    </row>
    <row r="286">
      <c r="A286" s="22">
        <v>46253.0</v>
      </c>
      <c r="B286" s="24" t="s">
        <v>35</v>
      </c>
      <c r="C286" s="2" t="s">
        <v>71</v>
      </c>
      <c r="D286" s="2" t="s">
        <v>50</v>
      </c>
      <c r="E286" s="24">
        <v>1.0</v>
      </c>
      <c r="F286" s="24" t="s">
        <v>612</v>
      </c>
      <c r="G286" s="26" t="s">
        <v>613</v>
      </c>
      <c r="H286" s="2">
        <v>10475.0</v>
      </c>
      <c r="I286" s="29" t="str">
        <f t="shared" si="13"/>
        <v>10475-GSB-SDS/1044541</v>
      </c>
      <c r="J286" s="32"/>
      <c r="K286" s="24"/>
      <c r="L286" s="24"/>
      <c r="M286" s="33"/>
      <c r="N286" s="33"/>
      <c r="O286" s="33"/>
      <c r="P286" s="33"/>
    </row>
    <row r="287">
      <c r="A287" s="22">
        <v>46182.0</v>
      </c>
      <c r="B287" s="24" t="s">
        <v>503</v>
      </c>
      <c r="C287" s="2" t="s">
        <v>581</v>
      </c>
      <c r="D287" s="2" t="s">
        <v>50</v>
      </c>
      <c r="E287" s="24">
        <v>1.0</v>
      </c>
      <c r="F287" s="24" t="s">
        <v>35</v>
      </c>
      <c r="G287" s="26" t="s">
        <v>614</v>
      </c>
      <c r="H287" s="2">
        <v>10213.0</v>
      </c>
      <c r="I287" s="29" t="str">
        <f>CONCATENATE(H287,"-","GSB","-",G287)</f>
        <v>10213-GSB-042164263916100024</v>
      </c>
      <c r="J287" s="32"/>
      <c r="K287" s="24"/>
      <c r="L287" s="24"/>
      <c r="M287" s="33"/>
      <c r="N287" s="33"/>
      <c r="O287" s="33"/>
      <c r="P287" s="33"/>
    </row>
    <row r="288">
      <c r="A288" s="22">
        <v>46182.0</v>
      </c>
      <c r="B288" s="24" t="s">
        <v>503</v>
      </c>
      <c r="C288" s="2" t="s">
        <v>581</v>
      </c>
      <c r="D288" s="2" t="s">
        <v>50</v>
      </c>
      <c r="E288" s="24">
        <v>1.0</v>
      </c>
      <c r="F288" s="24" t="s">
        <v>35</v>
      </c>
      <c r="G288" s="26" t="s">
        <v>615</v>
      </c>
      <c r="H288" s="2">
        <v>10224.0</v>
      </c>
      <c r="I288" s="29" t="str">
        <f>CONCATENATE(H288,"-","GSB","-",F288)</f>
        <v>10224-GSB-N/A</v>
      </c>
      <c r="J288" s="32"/>
      <c r="K288" s="24"/>
      <c r="L288" s="24"/>
      <c r="M288" s="33"/>
      <c r="N288" s="33"/>
      <c r="O288" s="33"/>
      <c r="P288" s="33"/>
    </row>
    <row r="289">
      <c r="A289" s="22">
        <v>46253.0</v>
      </c>
      <c r="B289" s="24" t="s">
        <v>616</v>
      </c>
      <c r="C289" s="2" t="s">
        <v>617</v>
      </c>
      <c r="D289" s="2" t="s">
        <v>49</v>
      </c>
      <c r="E289" s="24">
        <v>1.0</v>
      </c>
      <c r="F289" s="24" t="s">
        <v>618</v>
      </c>
      <c r="G289" s="26" t="s">
        <v>619</v>
      </c>
      <c r="H289" s="2">
        <v>10497.0</v>
      </c>
      <c r="I289" s="29" t="str">
        <f>CONCATENATE(H289,"-","GSB","-",G289)</f>
        <v>10497-GSB-042207947828030060</v>
      </c>
      <c r="J289" s="32"/>
      <c r="K289" s="24"/>
      <c r="L289" s="24"/>
      <c r="M289" s="33"/>
      <c r="N289" s="33"/>
      <c r="O289" s="33"/>
      <c r="P289" s="33"/>
    </row>
    <row r="290">
      <c r="A290" s="22">
        <v>46142.0</v>
      </c>
      <c r="B290" s="24" t="s">
        <v>35</v>
      </c>
      <c r="C290" s="2" t="s">
        <v>342</v>
      </c>
      <c r="D290" s="2" t="s">
        <v>51</v>
      </c>
      <c r="E290" s="24">
        <v>1.0</v>
      </c>
      <c r="F290" s="24" t="s">
        <v>35</v>
      </c>
      <c r="G290" s="26" t="s">
        <v>478</v>
      </c>
      <c r="H290" s="2">
        <v>1360.0</v>
      </c>
      <c r="I290" s="29" t="str">
        <f t="shared" ref="I290:I316" si="14">CONCATENATE(H290,"-","GSB","-",F290)</f>
        <v>1360-GSB-N/A</v>
      </c>
      <c r="J290" s="32"/>
      <c r="K290" s="24"/>
      <c r="L290" s="24"/>
      <c r="M290" s="33"/>
      <c r="N290" s="33"/>
      <c r="O290" s="33"/>
      <c r="P290" s="33"/>
    </row>
    <row r="291">
      <c r="A291" s="22">
        <v>46142.0</v>
      </c>
      <c r="B291" s="24" t="s">
        <v>35</v>
      </c>
      <c r="C291" s="2" t="s">
        <v>342</v>
      </c>
      <c r="D291" s="2" t="s">
        <v>51</v>
      </c>
      <c r="E291" s="24">
        <v>1.0</v>
      </c>
      <c r="F291" s="24" t="s">
        <v>35</v>
      </c>
      <c r="G291" s="26" t="s">
        <v>35</v>
      </c>
      <c r="H291" s="2">
        <v>10161.0</v>
      </c>
      <c r="I291" s="29" t="str">
        <f t="shared" si="14"/>
        <v>10161-GSB-N/A</v>
      </c>
      <c r="J291" s="32"/>
      <c r="K291" s="24"/>
      <c r="L291" s="24"/>
      <c r="M291" s="33"/>
      <c r="N291" s="33"/>
      <c r="O291" s="33"/>
      <c r="P291" s="33"/>
    </row>
    <row r="292">
      <c r="A292" s="22">
        <v>46142.0</v>
      </c>
      <c r="B292" s="24" t="s">
        <v>35</v>
      </c>
      <c r="C292" s="2" t="s">
        <v>342</v>
      </c>
      <c r="D292" s="2" t="s">
        <v>51</v>
      </c>
      <c r="E292" s="24">
        <v>1.0</v>
      </c>
      <c r="F292" s="24" t="s">
        <v>35</v>
      </c>
      <c r="G292" s="26" t="s">
        <v>480</v>
      </c>
      <c r="H292" s="2">
        <v>5319.0</v>
      </c>
      <c r="I292" s="29" t="str">
        <f t="shared" si="14"/>
        <v>5319-GSB-N/A</v>
      </c>
      <c r="J292" s="32"/>
      <c r="K292" s="24"/>
      <c r="L292" s="24"/>
      <c r="M292" s="33"/>
      <c r="N292" s="33"/>
      <c r="O292" s="33"/>
      <c r="P292" s="33"/>
    </row>
    <row r="293">
      <c r="A293" s="22">
        <v>46184.0</v>
      </c>
      <c r="B293" s="24" t="s">
        <v>621</v>
      </c>
      <c r="C293" s="2" t="s">
        <v>342</v>
      </c>
      <c r="D293" s="2" t="s">
        <v>51</v>
      </c>
      <c r="E293" s="24">
        <v>1.0</v>
      </c>
      <c r="F293" s="24" t="s">
        <v>35</v>
      </c>
      <c r="G293" s="26" t="s">
        <v>622</v>
      </c>
      <c r="H293" s="2">
        <v>10371.0</v>
      </c>
      <c r="I293" s="29" t="str">
        <f t="shared" si="14"/>
        <v>10371-GSB-N/A</v>
      </c>
      <c r="J293" s="32"/>
      <c r="K293" s="24"/>
      <c r="L293" s="24"/>
      <c r="M293" s="33"/>
      <c r="N293" s="33"/>
      <c r="O293" s="33"/>
      <c r="P293" s="33"/>
    </row>
    <row r="294">
      <c r="A294" s="22">
        <v>46184.0</v>
      </c>
      <c r="B294" s="24" t="s">
        <v>621</v>
      </c>
      <c r="C294" s="2" t="s">
        <v>342</v>
      </c>
      <c r="D294" s="2" t="s">
        <v>51</v>
      </c>
      <c r="E294" s="24">
        <v>1.0</v>
      </c>
      <c r="F294" s="24" t="s">
        <v>35</v>
      </c>
      <c r="G294" s="26" t="s">
        <v>623</v>
      </c>
      <c r="H294" s="2">
        <v>10372.0</v>
      </c>
      <c r="I294" s="29" t="str">
        <f t="shared" si="14"/>
        <v>10372-GSB-N/A</v>
      </c>
      <c r="J294" s="32"/>
      <c r="K294" s="24"/>
      <c r="L294" s="24"/>
      <c r="M294" s="33"/>
      <c r="N294" s="33"/>
      <c r="O294" s="33"/>
      <c r="P294" s="33"/>
    </row>
    <row r="295">
      <c r="A295" s="22">
        <v>46184.0</v>
      </c>
      <c r="B295" s="24" t="s">
        <v>621</v>
      </c>
      <c r="C295" s="2" t="s">
        <v>342</v>
      </c>
      <c r="D295" s="2" t="s">
        <v>51</v>
      </c>
      <c r="E295" s="24">
        <v>1.0</v>
      </c>
      <c r="F295" s="24" t="s">
        <v>35</v>
      </c>
      <c r="G295" s="26" t="s">
        <v>626</v>
      </c>
      <c r="H295" s="2">
        <v>10373.0</v>
      </c>
      <c r="I295" s="29" t="str">
        <f t="shared" si="14"/>
        <v>10373-GSB-N/A</v>
      </c>
      <c r="J295" s="32"/>
      <c r="K295" s="24"/>
      <c r="L295" s="24"/>
      <c r="M295" s="33"/>
      <c r="N295" s="33"/>
      <c r="O295" s="33"/>
      <c r="P295" s="33"/>
    </row>
    <row r="296">
      <c r="A296" s="22">
        <v>46184.0</v>
      </c>
      <c r="B296" s="24" t="s">
        <v>621</v>
      </c>
      <c r="C296" s="2" t="s">
        <v>342</v>
      </c>
      <c r="D296" s="2" t="s">
        <v>51</v>
      </c>
      <c r="E296" s="24">
        <v>1.0</v>
      </c>
      <c r="F296" s="24" t="s">
        <v>35</v>
      </c>
      <c r="G296" s="26" t="s">
        <v>628</v>
      </c>
      <c r="H296" s="2">
        <v>10374.0</v>
      </c>
      <c r="I296" s="29" t="str">
        <f t="shared" si="14"/>
        <v>10374-GSB-N/A</v>
      </c>
      <c r="J296" s="32"/>
      <c r="K296" s="24"/>
      <c r="L296" s="24"/>
      <c r="M296" s="33"/>
      <c r="N296" s="33"/>
      <c r="O296" s="33"/>
      <c r="P296" s="33"/>
    </row>
    <row r="297">
      <c r="A297" s="22"/>
      <c r="B297" s="24"/>
      <c r="C297" s="2" t="s">
        <v>342</v>
      </c>
      <c r="D297" s="2" t="s">
        <v>51</v>
      </c>
      <c r="E297" s="24">
        <v>1.0</v>
      </c>
      <c r="F297" s="24" t="s">
        <v>630</v>
      </c>
      <c r="G297" s="26" t="s">
        <v>631</v>
      </c>
      <c r="H297" s="2">
        <v>10456.0</v>
      </c>
      <c r="I297" s="29" t="str">
        <f t="shared" si="14"/>
        <v>10456-GSB-SDS / 1044555</v>
      </c>
      <c r="J297" s="32"/>
      <c r="K297" s="24"/>
      <c r="L297" s="24"/>
      <c r="M297" s="33"/>
      <c r="N297" s="33"/>
      <c r="O297" s="33"/>
      <c r="P297" s="33"/>
    </row>
    <row r="298">
      <c r="A298" s="22"/>
      <c r="B298" s="24"/>
      <c r="C298" s="2" t="s">
        <v>342</v>
      </c>
      <c r="D298" s="2" t="s">
        <v>51</v>
      </c>
      <c r="E298" s="24">
        <v>1.0</v>
      </c>
      <c r="F298" s="24" t="s">
        <v>632</v>
      </c>
      <c r="G298" s="26" t="s">
        <v>633</v>
      </c>
      <c r="H298" s="2">
        <v>10457.0</v>
      </c>
      <c r="I298" s="29" t="str">
        <f t="shared" si="14"/>
        <v>10457-GSB-SDS / 1044552</v>
      </c>
      <c r="J298" s="32"/>
      <c r="K298" s="24"/>
      <c r="L298" s="24"/>
      <c r="M298" s="33"/>
      <c r="N298" s="33"/>
      <c r="O298" s="33"/>
      <c r="P298" s="33"/>
    </row>
    <row r="299">
      <c r="A299" s="22">
        <v>45897.0</v>
      </c>
      <c r="B299" s="24">
        <v>2.093501849E9</v>
      </c>
      <c r="C299" s="2">
        <v>7.81410000834E11</v>
      </c>
      <c r="D299" s="2" t="s">
        <v>52</v>
      </c>
      <c r="E299" s="24">
        <v>1.0</v>
      </c>
      <c r="F299" s="24" t="s">
        <v>35</v>
      </c>
      <c r="G299" s="26">
        <v>7.702022200377E12</v>
      </c>
      <c r="H299" s="2">
        <v>1043.0</v>
      </c>
      <c r="I299" s="29" t="str">
        <f t="shared" si="14"/>
        <v>1043-GSB-N/A</v>
      </c>
      <c r="J299" s="32"/>
      <c r="K299" s="24"/>
      <c r="L299" s="24"/>
      <c r="M299" s="33"/>
      <c r="N299" s="33"/>
      <c r="O299" s="33"/>
      <c r="P299" s="33"/>
    </row>
    <row r="300">
      <c r="A300" s="22">
        <v>45897.0</v>
      </c>
      <c r="B300" s="24">
        <v>2.093501849E9</v>
      </c>
      <c r="C300" s="2">
        <v>7.81410000834E11</v>
      </c>
      <c r="D300" s="2" t="s">
        <v>52</v>
      </c>
      <c r="E300" s="24">
        <v>1.0</v>
      </c>
      <c r="F300" s="24" t="s">
        <v>35</v>
      </c>
      <c r="G300" s="26">
        <v>7.702022200386E12</v>
      </c>
      <c r="H300" s="2">
        <v>9079.0</v>
      </c>
      <c r="I300" s="29" t="str">
        <f t="shared" si="14"/>
        <v>9079-GSB-N/A</v>
      </c>
      <c r="J300" s="32"/>
      <c r="K300" s="24"/>
      <c r="L300" s="24"/>
      <c r="M300" s="33"/>
      <c r="N300" s="33"/>
      <c r="O300" s="33"/>
      <c r="P300" s="33"/>
    </row>
    <row r="301">
      <c r="A301" s="22">
        <v>45897.0</v>
      </c>
      <c r="B301" s="24">
        <v>2.093501849E9</v>
      </c>
      <c r="C301" s="2">
        <v>7.81410000834E11</v>
      </c>
      <c r="D301" s="2" t="s">
        <v>52</v>
      </c>
      <c r="E301" s="24">
        <v>1.0</v>
      </c>
      <c r="F301" s="24" t="s">
        <v>35</v>
      </c>
      <c r="G301" s="26" t="s">
        <v>35</v>
      </c>
      <c r="H301" s="2">
        <v>1042.0</v>
      </c>
      <c r="I301" s="29" t="str">
        <f t="shared" si="14"/>
        <v>1042-GSB-N/A</v>
      </c>
      <c r="J301" s="32"/>
      <c r="K301" s="24"/>
      <c r="L301" s="24"/>
      <c r="M301" s="33"/>
      <c r="N301" s="33"/>
      <c r="O301" s="33"/>
      <c r="P301" s="33"/>
    </row>
    <row r="302">
      <c r="A302" s="22">
        <v>46141.0</v>
      </c>
      <c r="B302" s="24" t="s">
        <v>35</v>
      </c>
      <c r="C302" s="2">
        <v>7.81410000834E11</v>
      </c>
      <c r="D302" s="2" t="s">
        <v>52</v>
      </c>
      <c r="E302" s="24">
        <v>1.0</v>
      </c>
      <c r="F302" s="24" t="s">
        <v>35</v>
      </c>
      <c r="G302" s="26" t="s">
        <v>35</v>
      </c>
      <c r="H302" s="2">
        <v>10113.0</v>
      </c>
      <c r="I302" s="29" t="str">
        <f t="shared" si="14"/>
        <v>10113-GSB-N/A</v>
      </c>
      <c r="J302" s="32"/>
      <c r="K302" s="32"/>
      <c r="L302" s="24"/>
      <c r="M302" s="33"/>
      <c r="N302" s="33"/>
      <c r="O302" s="33"/>
      <c r="P302" s="33"/>
    </row>
    <row r="303">
      <c r="A303" s="22">
        <v>46141.0</v>
      </c>
      <c r="B303" s="24" t="s">
        <v>35</v>
      </c>
      <c r="C303" s="2" t="s">
        <v>35</v>
      </c>
      <c r="D303" s="2" t="s">
        <v>52</v>
      </c>
      <c r="E303" s="24">
        <v>1.0</v>
      </c>
      <c r="F303" s="24" t="s">
        <v>35</v>
      </c>
      <c r="G303" s="26" t="s">
        <v>35</v>
      </c>
      <c r="H303" s="2">
        <v>10114.0</v>
      </c>
      <c r="I303" s="29" t="str">
        <f t="shared" si="14"/>
        <v>10114-GSB-N/A</v>
      </c>
      <c r="J303" s="32"/>
      <c r="K303" s="32"/>
      <c r="L303" s="24"/>
      <c r="M303" s="33"/>
      <c r="N303" s="33"/>
      <c r="O303" s="33"/>
      <c r="P303" s="33"/>
    </row>
    <row r="304">
      <c r="A304" s="22" t="s">
        <v>35</v>
      </c>
      <c r="B304" s="24" t="s">
        <v>35</v>
      </c>
      <c r="C304" s="2" t="s">
        <v>638</v>
      </c>
      <c r="D304" s="2" t="s">
        <v>56</v>
      </c>
      <c r="E304" s="24">
        <v>1.0</v>
      </c>
      <c r="F304" s="24" t="s">
        <v>35</v>
      </c>
      <c r="G304" s="26" t="s">
        <v>640</v>
      </c>
      <c r="H304" s="2">
        <v>9063.0</v>
      </c>
      <c r="I304" s="29" t="str">
        <f t="shared" si="14"/>
        <v>9063-GSB-N/A</v>
      </c>
      <c r="J304" s="32"/>
      <c r="K304" s="24"/>
      <c r="L304" s="24"/>
      <c r="M304" s="33"/>
      <c r="N304" s="33"/>
      <c r="O304" s="33"/>
      <c r="P304" s="33"/>
    </row>
    <row r="305">
      <c r="A305" s="22">
        <v>46253.0</v>
      </c>
      <c r="B305" s="24" t="s">
        <v>641</v>
      </c>
      <c r="C305" s="2" t="s">
        <v>362</v>
      </c>
      <c r="D305" s="2" t="s">
        <v>54</v>
      </c>
      <c r="E305" s="24">
        <v>1.0</v>
      </c>
      <c r="F305" s="24" t="s">
        <v>642</v>
      </c>
      <c r="G305" s="26" t="s">
        <v>643</v>
      </c>
      <c r="H305" s="2">
        <v>10455.0</v>
      </c>
      <c r="I305" s="29" t="str">
        <f t="shared" si="14"/>
        <v>10455-GSB-SDS/1044549</v>
      </c>
      <c r="J305" s="32"/>
      <c r="K305" s="24"/>
      <c r="L305" s="24"/>
      <c r="M305" s="33"/>
      <c r="N305" s="33"/>
      <c r="O305" s="33"/>
      <c r="P305" s="33"/>
    </row>
    <row r="306">
      <c r="A306" s="22">
        <v>45530.60907740741</v>
      </c>
      <c r="B306" s="24">
        <v>44430.0</v>
      </c>
      <c r="C306" s="2" t="s">
        <v>257</v>
      </c>
      <c r="D306" s="2" t="s">
        <v>57</v>
      </c>
      <c r="E306" s="24">
        <v>1.0</v>
      </c>
      <c r="F306" s="24" t="s">
        <v>35</v>
      </c>
      <c r="G306" s="26" t="s">
        <v>35</v>
      </c>
      <c r="H306" s="2">
        <v>8515.0</v>
      </c>
      <c r="I306" s="29" t="str">
        <f t="shared" si="14"/>
        <v>8515-GSB-N/A</v>
      </c>
      <c r="J306" s="32"/>
      <c r="K306" s="24"/>
      <c r="L306" s="24"/>
      <c r="M306" s="33"/>
      <c r="N306" s="33"/>
      <c r="O306" s="33"/>
      <c r="P306" s="33"/>
    </row>
    <row r="307">
      <c r="A307" s="22">
        <v>45530.60907740741</v>
      </c>
      <c r="B307" s="24">
        <v>44430.0</v>
      </c>
      <c r="C307" s="2" t="s">
        <v>257</v>
      </c>
      <c r="D307" s="2" t="s">
        <v>57</v>
      </c>
      <c r="E307" s="24">
        <v>1.0</v>
      </c>
      <c r="F307" s="24" t="s">
        <v>35</v>
      </c>
      <c r="G307" s="26" t="s">
        <v>35</v>
      </c>
      <c r="H307" s="2">
        <v>8497.0</v>
      </c>
      <c r="I307" s="29" t="str">
        <f t="shared" si="14"/>
        <v>8497-GSB-N/A</v>
      </c>
      <c r="J307" s="32"/>
      <c r="K307" s="24"/>
      <c r="L307" s="24"/>
      <c r="M307" s="33"/>
      <c r="N307" s="33"/>
      <c r="O307" s="33"/>
      <c r="P307" s="33"/>
    </row>
    <row r="308">
      <c r="A308" s="22">
        <v>45897.0</v>
      </c>
      <c r="B308" s="24">
        <v>2.093501849E9</v>
      </c>
      <c r="C308" s="2" t="s">
        <v>352</v>
      </c>
      <c r="D308" s="2" t="s">
        <v>59</v>
      </c>
      <c r="E308" s="24">
        <v>1.0</v>
      </c>
      <c r="F308" s="24" t="s">
        <v>35</v>
      </c>
      <c r="G308" s="26" t="s">
        <v>647</v>
      </c>
      <c r="H308" s="2">
        <v>4306.0</v>
      </c>
      <c r="I308" s="29" t="str">
        <f t="shared" si="14"/>
        <v>4306-GSB-N/A</v>
      </c>
      <c r="J308" s="32"/>
      <c r="K308" s="24"/>
      <c r="L308" s="24"/>
      <c r="M308" s="33"/>
      <c r="N308" s="33"/>
      <c r="O308" s="33"/>
      <c r="P308" s="33"/>
    </row>
    <row r="309">
      <c r="A309" s="22">
        <v>45897.0</v>
      </c>
      <c r="B309" s="24">
        <v>2.093501849E9</v>
      </c>
      <c r="C309" s="2" t="s">
        <v>352</v>
      </c>
      <c r="D309" s="2" t="s">
        <v>59</v>
      </c>
      <c r="E309" s="24">
        <v>1.0</v>
      </c>
      <c r="F309" s="24" t="s">
        <v>35</v>
      </c>
      <c r="G309" s="26" t="s">
        <v>648</v>
      </c>
      <c r="H309" s="2">
        <v>2289.0</v>
      </c>
      <c r="I309" s="29" t="str">
        <f t="shared" si="14"/>
        <v>2289-GSB-N/A</v>
      </c>
      <c r="J309" s="32"/>
      <c r="K309" s="24"/>
      <c r="L309" s="24"/>
      <c r="M309" s="33"/>
      <c r="N309" s="33"/>
      <c r="O309" s="33"/>
      <c r="P309" s="33"/>
    </row>
    <row r="310">
      <c r="A310" s="22">
        <v>45897.0</v>
      </c>
      <c r="B310" s="24">
        <v>2.093501849E9</v>
      </c>
      <c r="C310" s="2" t="s">
        <v>352</v>
      </c>
      <c r="D310" s="2" t="s">
        <v>59</v>
      </c>
      <c r="E310" s="24">
        <v>1.0</v>
      </c>
      <c r="F310" s="24" t="s">
        <v>35</v>
      </c>
      <c r="G310" s="26" t="s">
        <v>649</v>
      </c>
      <c r="H310" s="2">
        <v>2285.0</v>
      </c>
      <c r="I310" s="29" t="str">
        <f t="shared" si="14"/>
        <v>2285-GSB-N/A</v>
      </c>
      <c r="J310" s="32"/>
      <c r="K310" s="24"/>
      <c r="L310" s="24"/>
      <c r="M310" s="33"/>
      <c r="N310" s="33"/>
      <c r="O310" s="33"/>
      <c r="P310" s="33"/>
    </row>
    <row r="311">
      <c r="A311" s="22">
        <v>45897.0</v>
      </c>
      <c r="B311" s="24">
        <v>2.093501849E9</v>
      </c>
      <c r="C311" s="2" t="s">
        <v>352</v>
      </c>
      <c r="D311" s="2" t="s">
        <v>59</v>
      </c>
      <c r="E311" s="24">
        <v>1.0</v>
      </c>
      <c r="F311" s="24" t="s">
        <v>35</v>
      </c>
      <c r="G311" s="26" t="s">
        <v>651</v>
      </c>
      <c r="H311" s="2">
        <v>4086.0</v>
      </c>
      <c r="I311" s="29" t="str">
        <f t="shared" si="14"/>
        <v>4086-GSB-N/A</v>
      </c>
      <c r="J311" s="32"/>
      <c r="K311" s="24"/>
      <c r="L311" s="24"/>
      <c r="M311" s="33"/>
      <c r="N311" s="33"/>
      <c r="O311" s="33"/>
      <c r="P311" s="33"/>
    </row>
    <row r="312">
      <c r="A312" s="22">
        <v>46132.0</v>
      </c>
      <c r="B312" s="24" t="s">
        <v>35</v>
      </c>
      <c r="C312" s="2" t="s">
        <v>35</v>
      </c>
      <c r="D312" s="2" t="s">
        <v>59</v>
      </c>
      <c r="E312" s="24">
        <v>1.0</v>
      </c>
      <c r="F312" s="24" t="s">
        <v>35</v>
      </c>
      <c r="G312" s="26" t="s">
        <v>196</v>
      </c>
      <c r="H312" s="2">
        <v>10163.0</v>
      </c>
      <c r="I312" s="29" t="str">
        <f t="shared" si="14"/>
        <v>10163-GSB-N/A</v>
      </c>
      <c r="J312" s="32"/>
      <c r="K312" s="24"/>
      <c r="L312" s="24"/>
      <c r="M312" s="33"/>
      <c r="N312" s="33"/>
      <c r="O312" s="33"/>
      <c r="P312" s="33"/>
    </row>
    <row r="313">
      <c r="A313" s="22" t="s">
        <v>654</v>
      </c>
      <c r="B313" s="24" t="s">
        <v>655</v>
      </c>
      <c r="C313" s="2" t="s">
        <v>129</v>
      </c>
      <c r="D313" s="2" t="s">
        <v>61</v>
      </c>
      <c r="E313" s="24">
        <v>1.0</v>
      </c>
      <c r="F313" s="24" t="s">
        <v>657</v>
      </c>
      <c r="G313" s="26" t="s">
        <v>35</v>
      </c>
      <c r="H313" s="2">
        <v>10284.0</v>
      </c>
      <c r="I313" s="29" t="str">
        <f t="shared" si="14"/>
        <v>10284-GSB-SDS/1043556</v>
      </c>
      <c r="J313" s="32"/>
      <c r="K313" s="24"/>
      <c r="L313" s="24"/>
      <c r="M313" s="33"/>
      <c r="N313" s="33"/>
      <c r="O313" s="33"/>
      <c r="P313" s="33"/>
    </row>
    <row r="314">
      <c r="A314" s="22" t="s">
        <v>654</v>
      </c>
      <c r="B314" s="24" t="s">
        <v>655</v>
      </c>
      <c r="C314" s="2" t="s">
        <v>129</v>
      </c>
      <c r="D314" s="2" t="s">
        <v>61</v>
      </c>
      <c r="E314" s="24">
        <v>1.0</v>
      </c>
      <c r="F314" s="24" t="s">
        <v>659</v>
      </c>
      <c r="G314" s="26" t="s">
        <v>35</v>
      </c>
      <c r="H314" s="2">
        <v>10276.0</v>
      </c>
      <c r="I314" s="29" t="str">
        <f t="shared" si="14"/>
        <v>10276-GSB-SDS/1043554</v>
      </c>
      <c r="J314" s="32"/>
      <c r="K314" s="24"/>
      <c r="L314" s="24"/>
      <c r="M314" s="33"/>
      <c r="N314" s="33"/>
      <c r="O314" s="33"/>
      <c r="P314" s="33"/>
    </row>
    <row r="315">
      <c r="A315" s="22" t="s">
        <v>654</v>
      </c>
      <c r="B315" s="24" t="s">
        <v>655</v>
      </c>
      <c r="C315" s="2" t="s">
        <v>129</v>
      </c>
      <c r="D315" s="2" t="s">
        <v>61</v>
      </c>
      <c r="E315" s="24">
        <v>1.0</v>
      </c>
      <c r="F315" s="24" t="s">
        <v>661</v>
      </c>
      <c r="G315" s="26" t="s">
        <v>35</v>
      </c>
      <c r="H315" s="2">
        <v>10281.0</v>
      </c>
      <c r="I315" s="29" t="str">
        <f t="shared" si="14"/>
        <v>10281-GSB-SDS/1043524</v>
      </c>
      <c r="J315" s="32"/>
      <c r="K315" s="24"/>
      <c r="L315" s="24"/>
      <c r="M315" s="33"/>
      <c r="N315" s="33"/>
      <c r="O315" s="33"/>
      <c r="P315" s="33"/>
    </row>
    <row r="316">
      <c r="A316" s="22" t="s">
        <v>654</v>
      </c>
      <c r="B316" s="24" t="s">
        <v>655</v>
      </c>
      <c r="C316" s="2" t="s">
        <v>129</v>
      </c>
      <c r="D316" s="2" t="s">
        <v>61</v>
      </c>
      <c r="E316" s="24">
        <v>1.0</v>
      </c>
      <c r="F316" s="24" t="s">
        <v>663</v>
      </c>
      <c r="G316" s="26" t="s">
        <v>35</v>
      </c>
      <c r="H316" s="2">
        <v>10286.0</v>
      </c>
      <c r="I316" s="29" t="str">
        <f t="shared" si="14"/>
        <v>10286-GSB-SDS/1043537</v>
      </c>
      <c r="J316" s="32"/>
      <c r="K316" s="24"/>
      <c r="L316" s="24"/>
      <c r="M316" s="33"/>
      <c r="N316" s="33"/>
      <c r="O316" s="33"/>
      <c r="P316" s="33"/>
    </row>
    <row r="317">
      <c r="A317" s="22">
        <v>46253.0</v>
      </c>
      <c r="B317" s="24" t="s">
        <v>616</v>
      </c>
      <c r="C317" s="2" t="s">
        <v>504</v>
      </c>
      <c r="D317" s="2" t="s">
        <v>61</v>
      </c>
      <c r="E317" s="24">
        <v>1.0</v>
      </c>
      <c r="F317" s="24" t="s">
        <v>665</v>
      </c>
      <c r="G317" s="26" t="s">
        <v>35</v>
      </c>
      <c r="H317" s="2">
        <v>10484.0</v>
      </c>
      <c r="I317" s="29" t="str">
        <f t="shared" ref="I317:I322" si="15">CONCATENATE(H317,"-","GSB","-",G317)</f>
        <v>10484-GSB-N/A</v>
      </c>
      <c r="J317" s="32"/>
      <c r="K317" s="24"/>
      <c r="L317" s="24"/>
      <c r="M317" s="33"/>
      <c r="N317" s="33"/>
      <c r="O317" s="33"/>
      <c r="P317" s="33"/>
    </row>
    <row r="318">
      <c r="A318" s="22">
        <v>46253.0</v>
      </c>
      <c r="B318" s="24" t="s">
        <v>616</v>
      </c>
      <c r="C318" s="2" t="s">
        <v>504</v>
      </c>
      <c r="D318" s="2" t="s">
        <v>61</v>
      </c>
      <c r="E318" s="24">
        <v>1.0</v>
      </c>
      <c r="F318" s="24" t="s">
        <v>666</v>
      </c>
      <c r="G318" s="26" t="s">
        <v>35</v>
      </c>
      <c r="H318" s="2">
        <v>10485.0</v>
      </c>
      <c r="I318" s="29" t="str">
        <f t="shared" si="15"/>
        <v>10485-GSB-N/A</v>
      </c>
      <c r="J318" s="32"/>
      <c r="K318" s="24"/>
      <c r="L318" s="24"/>
      <c r="M318" s="33"/>
      <c r="N318" s="33"/>
      <c r="O318" s="33"/>
      <c r="P318" s="33"/>
    </row>
    <row r="319">
      <c r="A319" s="22">
        <v>46253.0</v>
      </c>
      <c r="B319" s="24" t="s">
        <v>616</v>
      </c>
      <c r="C319" s="2" t="s">
        <v>504</v>
      </c>
      <c r="D319" s="2" t="s">
        <v>61</v>
      </c>
      <c r="E319" s="24">
        <v>1.0</v>
      </c>
      <c r="F319" s="24" t="s">
        <v>667</v>
      </c>
      <c r="G319" s="26" t="s">
        <v>35</v>
      </c>
      <c r="H319" s="2">
        <v>10486.0</v>
      </c>
      <c r="I319" s="29" t="str">
        <f t="shared" si="15"/>
        <v>10486-GSB-N/A</v>
      </c>
      <c r="J319" s="32"/>
      <c r="K319" s="24"/>
      <c r="L319" s="24"/>
      <c r="M319" s="33"/>
      <c r="N319" s="33"/>
      <c r="O319" s="33"/>
      <c r="P319" s="33"/>
    </row>
    <row r="320">
      <c r="A320" s="22">
        <v>46253.0</v>
      </c>
      <c r="B320" s="24" t="s">
        <v>616</v>
      </c>
      <c r="C320" s="2" t="s">
        <v>504</v>
      </c>
      <c r="D320" s="2" t="s">
        <v>61</v>
      </c>
      <c r="E320" s="24">
        <v>1.0</v>
      </c>
      <c r="F320" s="24" t="s">
        <v>669</v>
      </c>
      <c r="G320" s="26" t="s">
        <v>35</v>
      </c>
      <c r="H320" s="2">
        <v>10487.0</v>
      </c>
      <c r="I320" s="29" t="str">
        <f t="shared" si="15"/>
        <v>10487-GSB-N/A</v>
      </c>
      <c r="J320" s="32"/>
      <c r="K320" s="24"/>
      <c r="L320" s="24"/>
      <c r="M320" s="33"/>
      <c r="N320" s="33"/>
      <c r="O320" s="33"/>
      <c r="P320" s="33"/>
    </row>
    <row r="321">
      <c r="A321" s="22">
        <v>46253.0</v>
      </c>
      <c r="B321" s="24" t="s">
        <v>616</v>
      </c>
      <c r="C321" s="2" t="s">
        <v>504</v>
      </c>
      <c r="D321" s="2" t="s">
        <v>61</v>
      </c>
      <c r="E321" s="24">
        <v>1.0</v>
      </c>
      <c r="F321" s="24" t="s">
        <v>670</v>
      </c>
      <c r="G321" s="26" t="s">
        <v>35</v>
      </c>
      <c r="H321" s="2">
        <v>10490.0</v>
      </c>
      <c r="I321" s="29" t="str">
        <f t="shared" si="15"/>
        <v>10490-GSB-N/A</v>
      </c>
      <c r="J321" s="32"/>
      <c r="K321" s="24"/>
      <c r="L321" s="24"/>
      <c r="M321" s="33"/>
      <c r="N321" s="33"/>
      <c r="O321" s="33"/>
      <c r="P321" s="33"/>
    </row>
    <row r="322">
      <c r="A322" s="22">
        <v>46253.0</v>
      </c>
      <c r="B322" s="24" t="s">
        <v>616</v>
      </c>
      <c r="C322" s="2" t="s">
        <v>504</v>
      </c>
      <c r="D322" s="2" t="s">
        <v>61</v>
      </c>
      <c r="E322" s="24">
        <v>1.0</v>
      </c>
      <c r="F322" s="24" t="s">
        <v>671</v>
      </c>
      <c r="G322" s="26" t="s">
        <v>35</v>
      </c>
      <c r="H322" s="2">
        <v>10491.0</v>
      </c>
      <c r="I322" s="29" t="str">
        <f t="shared" si="15"/>
        <v>10491-GSB-N/A</v>
      </c>
      <c r="J322" s="32"/>
      <c r="K322" s="24"/>
      <c r="L322" s="24"/>
      <c r="M322" s="33"/>
      <c r="N322" s="33"/>
      <c r="O322" s="33"/>
      <c r="P322" s="33"/>
    </row>
    <row r="323">
      <c r="A323" s="22" t="s">
        <v>654</v>
      </c>
      <c r="B323" s="24" t="s">
        <v>655</v>
      </c>
      <c r="C323" s="2" t="s">
        <v>129</v>
      </c>
      <c r="D323" s="2" t="s">
        <v>61</v>
      </c>
      <c r="E323" s="24">
        <v>1.0</v>
      </c>
      <c r="F323" s="24" t="s">
        <v>673</v>
      </c>
      <c r="G323" s="26" t="s">
        <v>35</v>
      </c>
      <c r="H323" s="2">
        <v>10292.0</v>
      </c>
      <c r="I323" s="29" t="str">
        <f t="shared" ref="I323:I338" si="16">CONCATENATE(H323,"-","GSB","-",F323)</f>
        <v>10292-GSB-SDS/1043566</v>
      </c>
      <c r="J323" s="32"/>
      <c r="K323" s="24"/>
      <c r="L323" s="24"/>
      <c r="M323" s="33"/>
      <c r="N323" s="33"/>
      <c r="O323" s="33"/>
      <c r="P323" s="33"/>
    </row>
    <row r="324">
      <c r="A324" s="22">
        <v>45897.0</v>
      </c>
      <c r="B324" s="24" t="s">
        <v>35</v>
      </c>
      <c r="C324" s="2" t="s">
        <v>35</v>
      </c>
      <c r="D324" s="2" t="s">
        <v>63</v>
      </c>
      <c r="E324" s="24">
        <v>1.0</v>
      </c>
      <c r="F324" s="24" t="s">
        <v>675</v>
      </c>
      <c r="G324" s="26" t="s">
        <v>35</v>
      </c>
      <c r="H324" s="2">
        <v>9069.0</v>
      </c>
      <c r="I324" s="29" t="str">
        <f t="shared" si="16"/>
        <v>9069-GSB-SDS1017299</v>
      </c>
      <c r="J324" s="32"/>
      <c r="K324" s="24"/>
      <c r="L324" s="24"/>
      <c r="M324" s="33"/>
      <c r="N324" s="33"/>
      <c r="O324" s="33"/>
      <c r="P324" s="33"/>
    </row>
    <row r="325">
      <c r="A325" s="22">
        <v>45897.0</v>
      </c>
      <c r="B325" s="24" t="s">
        <v>35</v>
      </c>
      <c r="C325" s="2" t="s">
        <v>35</v>
      </c>
      <c r="D325" s="2" t="s">
        <v>63</v>
      </c>
      <c r="E325" s="24">
        <v>1.0</v>
      </c>
      <c r="F325" s="24" t="s">
        <v>35</v>
      </c>
      <c r="G325" s="26" t="s">
        <v>35</v>
      </c>
      <c r="H325" s="2">
        <v>9070.0</v>
      </c>
      <c r="I325" s="29" t="str">
        <f t="shared" si="16"/>
        <v>9070-GSB-N/A</v>
      </c>
      <c r="J325" s="32"/>
      <c r="K325" s="24"/>
      <c r="L325" s="24"/>
      <c r="M325" s="33"/>
      <c r="N325" s="33"/>
      <c r="O325" s="33"/>
      <c r="P325" s="33"/>
    </row>
    <row r="326">
      <c r="A326" s="22">
        <v>45897.0</v>
      </c>
      <c r="B326" s="24" t="s">
        <v>35</v>
      </c>
      <c r="C326" s="2" t="s">
        <v>35</v>
      </c>
      <c r="D326" s="2" t="s">
        <v>63</v>
      </c>
      <c r="E326" s="24">
        <v>1.0</v>
      </c>
      <c r="F326" s="24" t="s">
        <v>681</v>
      </c>
      <c r="G326" s="26" t="s">
        <v>35</v>
      </c>
      <c r="H326" s="2">
        <v>9068.0</v>
      </c>
      <c r="I326" s="29" t="str">
        <f t="shared" si="16"/>
        <v>9068-GSB-SDS1024388</v>
      </c>
      <c r="J326" s="32"/>
      <c r="K326" s="24"/>
      <c r="L326" s="24"/>
      <c r="M326" s="33"/>
      <c r="N326" s="33"/>
      <c r="O326" s="33"/>
      <c r="P326" s="33"/>
    </row>
    <row r="327">
      <c r="A327" s="22">
        <v>46164.0</v>
      </c>
      <c r="B327" s="24">
        <v>1332601.0</v>
      </c>
      <c r="C327" s="2" t="s">
        <v>682</v>
      </c>
      <c r="D327" s="2" t="s">
        <v>64</v>
      </c>
      <c r="E327" s="24">
        <v>1.0</v>
      </c>
      <c r="F327" s="24" t="s">
        <v>35</v>
      </c>
      <c r="G327" s="26" t="s">
        <v>35</v>
      </c>
      <c r="H327" s="2">
        <v>10186.0</v>
      </c>
      <c r="I327" s="29" t="str">
        <f t="shared" si="16"/>
        <v>10186-GSB-N/A</v>
      </c>
      <c r="J327" s="32"/>
      <c r="K327" s="24"/>
      <c r="L327" s="24"/>
      <c r="M327" s="33"/>
      <c r="N327" s="33"/>
      <c r="O327" s="33"/>
      <c r="P327" s="33"/>
    </row>
    <row r="328">
      <c r="A328" s="22" t="s">
        <v>35</v>
      </c>
      <c r="B328" s="24" t="s">
        <v>35</v>
      </c>
      <c r="C328" s="2" t="s">
        <v>683</v>
      </c>
      <c r="D328" s="2" t="s">
        <v>66</v>
      </c>
      <c r="E328" s="24">
        <v>1.0</v>
      </c>
      <c r="F328" s="24" t="s">
        <v>35</v>
      </c>
      <c r="G328" s="26" t="s">
        <v>685</v>
      </c>
      <c r="H328" s="2">
        <v>9061.0</v>
      </c>
      <c r="I328" s="29" t="str">
        <f t="shared" si="16"/>
        <v>9061-GSB-N/A</v>
      </c>
      <c r="J328" s="32"/>
      <c r="K328" s="24"/>
      <c r="L328" s="24"/>
      <c r="M328" s="33"/>
      <c r="N328" s="33"/>
      <c r="O328" s="33"/>
      <c r="P328" s="33"/>
    </row>
    <row r="329">
      <c r="A329" s="22" t="s">
        <v>35</v>
      </c>
      <c r="B329" s="24" t="s">
        <v>35</v>
      </c>
      <c r="C329" s="2" t="s">
        <v>683</v>
      </c>
      <c r="D329" s="2" t="s">
        <v>66</v>
      </c>
      <c r="E329" s="24">
        <v>1.0</v>
      </c>
      <c r="F329" s="24" t="s">
        <v>35</v>
      </c>
      <c r="G329" s="26" t="s">
        <v>35</v>
      </c>
      <c r="H329" s="2">
        <v>10182.0</v>
      </c>
      <c r="I329" s="29" t="str">
        <f t="shared" si="16"/>
        <v>10182-GSB-N/A</v>
      </c>
      <c r="J329" s="32"/>
      <c r="K329" s="24"/>
      <c r="L329" s="24"/>
      <c r="M329" s="33"/>
      <c r="N329" s="33"/>
      <c r="O329" s="33"/>
      <c r="P329" s="33"/>
    </row>
    <row r="330">
      <c r="A330" s="22">
        <v>46182.0</v>
      </c>
      <c r="B330" s="24" t="s">
        <v>503</v>
      </c>
      <c r="C330" s="2" t="s">
        <v>683</v>
      </c>
      <c r="D330" s="2" t="s">
        <v>66</v>
      </c>
      <c r="E330" s="24">
        <v>1.0</v>
      </c>
      <c r="F330" s="24" t="s">
        <v>688</v>
      </c>
      <c r="G330" s="26" t="s">
        <v>689</v>
      </c>
      <c r="H330" s="2">
        <v>10196.0</v>
      </c>
      <c r="I330" s="29" t="str">
        <f t="shared" si="16"/>
        <v>10196-GSB-SDS1043184</v>
      </c>
      <c r="J330" s="32"/>
      <c r="K330" s="24"/>
      <c r="L330" s="24"/>
      <c r="M330" s="33"/>
      <c r="N330" s="33"/>
      <c r="O330" s="33"/>
      <c r="P330" s="33"/>
    </row>
    <row r="331">
      <c r="A331" s="22">
        <v>46182.0</v>
      </c>
      <c r="B331" s="24" t="s">
        <v>503</v>
      </c>
      <c r="C331" s="2" t="s">
        <v>683</v>
      </c>
      <c r="D331" s="2" t="s">
        <v>66</v>
      </c>
      <c r="E331" s="24">
        <v>1.0</v>
      </c>
      <c r="F331" s="24" t="s">
        <v>690</v>
      </c>
      <c r="G331" s="26" t="s">
        <v>691</v>
      </c>
      <c r="H331" s="2">
        <v>10197.0</v>
      </c>
      <c r="I331" s="29" t="str">
        <f t="shared" si="16"/>
        <v>10197-GSB-SDS1043192</v>
      </c>
      <c r="J331" s="32"/>
      <c r="K331" s="24"/>
      <c r="L331" s="24"/>
      <c r="M331" s="33"/>
      <c r="N331" s="33"/>
      <c r="O331" s="33"/>
      <c r="P331" s="33"/>
    </row>
    <row r="332">
      <c r="A332" s="22">
        <v>46182.0</v>
      </c>
      <c r="B332" s="24" t="s">
        <v>503</v>
      </c>
      <c r="C332" s="2" t="s">
        <v>683</v>
      </c>
      <c r="D332" s="2" t="s">
        <v>66</v>
      </c>
      <c r="E332" s="24">
        <v>1.0</v>
      </c>
      <c r="F332" s="24" t="s">
        <v>695</v>
      </c>
      <c r="G332" s="26" t="s">
        <v>696</v>
      </c>
      <c r="H332" s="2">
        <v>10198.0</v>
      </c>
      <c r="I332" s="29" t="str">
        <f t="shared" si="16"/>
        <v>10198-GSB-SDS1043197</v>
      </c>
      <c r="J332" s="32"/>
      <c r="K332" s="24"/>
      <c r="L332" s="24"/>
      <c r="M332" s="33"/>
      <c r="N332" s="33"/>
      <c r="O332" s="33"/>
      <c r="P332" s="33"/>
    </row>
    <row r="333">
      <c r="A333" s="22">
        <v>46182.0</v>
      </c>
      <c r="B333" s="24" t="s">
        <v>503</v>
      </c>
      <c r="C333" s="2" t="s">
        <v>683</v>
      </c>
      <c r="D333" s="2" t="s">
        <v>66</v>
      </c>
      <c r="E333" s="24">
        <v>1.0</v>
      </c>
      <c r="F333" s="24" t="s">
        <v>698</v>
      </c>
      <c r="G333" s="26" t="s">
        <v>699</v>
      </c>
      <c r="H333" s="2">
        <v>10202.0</v>
      </c>
      <c r="I333" s="29" t="str">
        <f t="shared" si="16"/>
        <v>10202-GSB-SDS1043196</v>
      </c>
      <c r="J333" s="32"/>
      <c r="K333" s="24"/>
      <c r="L333" s="24"/>
      <c r="M333" s="33"/>
      <c r="N333" s="33"/>
      <c r="O333" s="33"/>
      <c r="P333" s="33"/>
    </row>
    <row r="334">
      <c r="A334" s="22">
        <v>46182.0</v>
      </c>
      <c r="B334" s="24" t="s">
        <v>503</v>
      </c>
      <c r="C334" s="2" t="s">
        <v>683</v>
      </c>
      <c r="D334" s="2" t="s">
        <v>66</v>
      </c>
      <c r="E334" s="24">
        <v>1.0</v>
      </c>
      <c r="F334" s="24" t="s">
        <v>701</v>
      </c>
      <c r="G334" s="26" t="s">
        <v>702</v>
      </c>
      <c r="H334" s="2">
        <v>10203.0</v>
      </c>
      <c r="I334" s="29" t="str">
        <f t="shared" si="16"/>
        <v>10203-GSB-SDS1043191</v>
      </c>
      <c r="J334" s="32"/>
      <c r="K334" s="24"/>
      <c r="L334" s="24"/>
      <c r="M334" s="33"/>
      <c r="N334" s="33"/>
      <c r="O334" s="33"/>
      <c r="P334" s="33"/>
    </row>
    <row r="335">
      <c r="A335" s="22">
        <v>46182.0</v>
      </c>
      <c r="B335" s="24" t="s">
        <v>503</v>
      </c>
      <c r="C335" s="2" t="s">
        <v>683</v>
      </c>
      <c r="D335" s="2" t="s">
        <v>66</v>
      </c>
      <c r="E335" s="24">
        <v>1.0</v>
      </c>
      <c r="F335" s="24" t="s">
        <v>704</v>
      </c>
      <c r="G335" s="26" t="s">
        <v>705</v>
      </c>
      <c r="H335" s="2">
        <v>10204.0</v>
      </c>
      <c r="I335" s="29" t="str">
        <f t="shared" si="16"/>
        <v>10204-GSB-SDS1043198</v>
      </c>
      <c r="J335" s="32"/>
      <c r="K335" s="24"/>
      <c r="L335" s="24"/>
      <c r="M335" s="33"/>
      <c r="N335" s="33"/>
      <c r="O335" s="33"/>
      <c r="P335" s="33"/>
    </row>
    <row r="336">
      <c r="A336" s="22" t="s">
        <v>35</v>
      </c>
      <c r="B336" s="24" t="s">
        <v>35</v>
      </c>
      <c r="C336" s="2" t="s">
        <v>683</v>
      </c>
      <c r="D336" s="2" t="s">
        <v>66</v>
      </c>
      <c r="E336" s="24">
        <v>1.0</v>
      </c>
      <c r="F336" s="24"/>
      <c r="G336" s="26" t="s">
        <v>35</v>
      </c>
      <c r="H336" s="2">
        <v>10180.0</v>
      </c>
      <c r="I336" s="29" t="str">
        <f t="shared" si="16"/>
        <v>10180-GSB-</v>
      </c>
      <c r="J336" s="32"/>
      <c r="K336" s="24"/>
      <c r="L336" s="95"/>
      <c r="M336" s="33"/>
      <c r="N336" s="33"/>
      <c r="O336" s="33"/>
      <c r="P336" s="33"/>
    </row>
    <row r="337">
      <c r="A337" s="22" t="s">
        <v>35</v>
      </c>
      <c r="B337" s="24" t="s">
        <v>35</v>
      </c>
      <c r="C337" s="2" t="s">
        <v>683</v>
      </c>
      <c r="D337" s="2" t="s">
        <v>66</v>
      </c>
      <c r="E337" s="24">
        <v>1.0</v>
      </c>
      <c r="F337" s="24"/>
      <c r="G337" s="26" t="s">
        <v>35</v>
      </c>
      <c r="H337" s="2">
        <v>10181.0</v>
      </c>
      <c r="I337" s="29" t="str">
        <f t="shared" si="16"/>
        <v>10181-GSB-</v>
      </c>
      <c r="J337" s="32"/>
      <c r="K337" s="24"/>
      <c r="L337" s="95"/>
      <c r="M337" s="33"/>
      <c r="N337" s="33"/>
      <c r="O337" s="33"/>
      <c r="P337" s="33"/>
    </row>
    <row r="338">
      <c r="A338" s="22">
        <v>46182.0</v>
      </c>
      <c r="B338" s="24" t="s">
        <v>503</v>
      </c>
      <c r="C338" s="2" t="s">
        <v>683</v>
      </c>
      <c r="D338" s="2" t="s">
        <v>66</v>
      </c>
      <c r="E338" s="24">
        <v>1.0</v>
      </c>
      <c r="F338" s="24"/>
      <c r="G338" s="26" t="s">
        <v>708</v>
      </c>
      <c r="H338" s="2">
        <v>10201.0</v>
      </c>
      <c r="I338" s="29" t="str">
        <f t="shared" si="16"/>
        <v>10201-GSB-</v>
      </c>
      <c r="J338" s="32"/>
      <c r="K338" s="24"/>
      <c r="L338" s="95"/>
      <c r="M338" s="33"/>
      <c r="N338" s="33"/>
      <c r="O338" s="33"/>
      <c r="P338" s="33"/>
    </row>
    <row r="339">
      <c r="A339" s="22">
        <v>46275.0</v>
      </c>
      <c r="B339" s="2" t="s">
        <v>34</v>
      </c>
      <c r="C339" s="2" t="s">
        <v>35</v>
      </c>
      <c r="D339" s="2" t="s">
        <v>67</v>
      </c>
      <c r="E339" s="24">
        <v>1.0</v>
      </c>
      <c r="F339" s="24" t="s">
        <v>712</v>
      </c>
      <c r="G339" s="24" t="s">
        <v>35</v>
      </c>
      <c r="H339" s="2">
        <v>10638.0</v>
      </c>
      <c r="I339" s="32" t="str">
        <f t="shared" ref="I339:I355" si="17">CONCATENATE(H339,"-","GSB","-",G339)</f>
        <v>10638-GSB-N/A</v>
      </c>
      <c r="J339" s="32"/>
      <c r="K339" s="24"/>
      <c r="L339" s="24"/>
      <c r="M339" s="33"/>
      <c r="N339" s="33"/>
      <c r="O339" s="33"/>
      <c r="P339" s="33"/>
    </row>
    <row r="340">
      <c r="A340" s="22">
        <v>46275.0</v>
      </c>
      <c r="B340" s="2" t="s">
        <v>34</v>
      </c>
      <c r="C340" s="2" t="s">
        <v>35</v>
      </c>
      <c r="D340" s="2" t="s">
        <v>67</v>
      </c>
      <c r="E340" s="24">
        <v>1.0</v>
      </c>
      <c r="F340" s="24" t="s">
        <v>713</v>
      </c>
      <c r="G340" s="24" t="s">
        <v>35</v>
      </c>
      <c r="H340" s="2">
        <v>10639.0</v>
      </c>
      <c r="I340" s="32" t="str">
        <f t="shared" si="17"/>
        <v>10639-GSB-N/A</v>
      </c>
      <c r="J340" s="32"/>
      <c r="K340" s="24"/>
      <c r="L340" s="24"/>
      <c r="M340" s="33"/>
      <c r="N340" s="33"/>
      <c r="O340" s="33"/>
      <c r="P340" s="33"/>
    </row>
    <row r="341">
      <c r="A341" s="22">
        <v>46275.0</v>
      </c>
      <c r="B341" s="2" t="s">
        <v>34</v>
      </c>
      <c r="C341" s="2" t="s">
        <v>35</v>
      </c>
      <c r="D341" s="2" t="s">
        <v>67</v>
      </c>
      <c r="E341" s="24">
        <v>1.0</v>
      </c>
      <c r="F341" s="24" t="s">
        <v>714</v>
      </c>
      <c r="G341" s="24" t="s">
        <v>35</v>
      </c>
      <c r="H341" s="2">
        <v>10640.0</v>
      </c>
      <c r="I341" s="32" t="str">
        <f t="shared" si="17"/>
        <v>10640-GSB-N/A</v>
      </c>
      <c r="J341" s="32"/>
      <c r="K341" s="24"/>
      <c r="L341" s="24"/>
      <c r="M341" s="33"/>
      <c r="N341" s="33"/>
      <c r="O341" s="33"/>
      <c r="P341" s="33"/>
    </row>
    <row r="342">
      <c r="A342" s="22">
        <v>46275.0</v>
      </c>
      <c r="B342" s="2" t="s">
        <v>34</v>
      </c>
      <c r="C342" s="2" t="s">
        <v>35</v>
      </c>
      <c r="D342" s="2" t="s">
        <v>67</v>
      </c>
      <c r="E342" s="24">
        <v>1.0</v>
      </c>
      <c r="F342" s="24" t="s">
        <v>716</v>
      </c>
      <c r="G342" s="24" t="s">
        <v>35</v>
      </c>
      <c r="H342" s="2">
        <v>10641.0</v>
      </c>
      <c r="I342" s="32" t="str">
        <f t="shared" si="17"/>
        <v>10641-GSB-N/A</v>
      </c>
      <c r="J342" s="32"/>
      <c r="K342" s="24"/>
      <c r="L342" s="24"/>
      <c r="M342" s="33"/>
      <c r="N342" s="33"/>
      <c r="O342" s="33"/>
      <c r="P342" s="33"/>
    </row>
    <row r="343">
      <c r="A343" s="22">
        <v>46275.0</v>
      </c>
      <c r="B343" s="2" t="s">
        <v>34</v>
      </c>
      <c r="C343" s="2" t="s">
        <v>35</v>
      </c>
      <c r="D343" s="2" t="s">
        <v>67</v>
      </c>
      <c r="E343" s="24">
        <v>1.0</v>
      </c>
      <c r="F343" s="24" t="s">
        <v>717</v>
      </c>
      <c r="G343" s="24" t="s">
        <v>35</v>
      </c>
      <c r="H343" s="2">
        <v>10642.0</v>
      </c>
      <c r="I343" s="32" t="str">
        <f t="shared" si="17"/>
        <v>10642-GSB-N/A</v>
      </c>
      <c r="J343" s="32"/>
      <c r="K343" s="24"/>
      <c r="L343" s="24"/>
      <c r="M343" s="33"/>
      <c r="N343" s="33"/>
      <c r="O343" s="33"/>
      <c r="P343" s="33"/>
    </row>
    <row r="344">
      <c r="A344" s="22">
        <v>46275.0</v>
      </c>
      <c r="B344" s="2" t="s">
        <v>34</v>
      </c>
      <c r="C344" s="2" t="s">
        <v>35</v>
      </c>
      <c r="D344" s="2" t="s">
        <v>67</v>
      </c>
      <c r="E344" s="24">
        <v>1.0</v>
      </c>
      <c r="F344" s="24" t="s">
        <v>718</v>
      </c>
      <c r="G344" s="24" t="s">
        <v>35</v>
      </c>
      <c r="H344" s="2">
        <v>10643.0</v>
      </c>
      <c r="I344" s="32" t="str">
        <f t="shared" si="17"/>
        <v>10643-GSB-N/A</v>
      </c>
      <c r="J344" s="32"/>
      <c r="K344" s="24"/>
      <c r="L344" s="24"/>
      <c r="M344" s="33"/>
      <c r="N344" s="33"/>
      <c r="O344" s="33"/>
      <c r="P344" s="33"/>
    </row>
    <row r="345">
      <c r="A345" s="22">
        <v>46275.0</v>
      </c>
      <c r="B345" s="2" t="s">
        <v>34</v>
      </c>
      <c r="C345" s="2" t="s">
        <v>35</v>
      </c>
      <c r="D345" s="2" t="s">
        <v>67</v>
      </c>
      <c r="E345" s="24">
        <v>1.0</v>
      </c>
      <c r="F345" s="24" t="s">
        <v>720</v>
      </c>
      <c r="G345" s="24" t="s">
        <v>35</v>
      </c>
      <c r="H345" s="2">
        <v>10644.0</v>
      </c>
      <c r="I345" s="32" t="str">
        <f t="shared" si="17"/>
        <v>10644-GSB-N/A</v>
      </c>
      <c r="J345" s="32"/>
      <c r="K345" s="24"/>
      <c r="L345" s="24"/>
      <c r="M345" s="33"/>
      <c r="N345" s="33"/>
      <c r="O345" s="33"/>
      <c r="P345" s="33"/>
    </row>
    <row r="346">
      <c r="A346" s="22">
        <v>46275.0</v>
      </c>
      <c r="B346" s="2" t="s">
        <v>34</v>
      </c>
      <c r="C346" s="2" t="s">
        <v>35</v>
      </c>
      <c r="D346" s="2" t="s">
        <v>67</v>
      </c>
      <c r="E346" s="24">
        <v>1.0</v>
      </c>
      <c r="F346" s="24" t="s">
        <v>722</v>
      </c>
      <c r="G346" s="24" t="s">
        <v>35</v>
      </c>
      <c r="H346" s="2">
        <v>10645.0</v>
      </c>
      <c r="I346" s="32" t="str">
        <f t="shared" si="17"/>
        <v>10645-GSB-N/A</v>
      </c>
      <c r="J346" s="32"/>
      <c r="K346" s="24"/>
      <c r="L346" s="24"/>
      <c r="M346" s="33"/>
      <c r="N346" s="33"/>
      <c r="O346" s="33"/>
      <c r="P346" s="33"/>
    </row>
    <row r="347">
      <c r="A347" s="22">
        <v>46275.0</v>
      </c>
      <c r="B347" s="2" t="s">
        <v>34</v>
      </c>
      <c r="C347" s="2" t="s">
        <v>35</v>
      </c>
      <c r="D347" s="2" t="s">
        <v>67</v>
      </c>
      <c r="E347" s="24">
        <v>1.0</v>
      </c>
      <c r="F347" s="24" t="s">
        <v>726</v>
      </c>
      <c r="G347" s="24" t="s">
        <v>35</v>
      </c>
      <c r="H347" s="2">
        <v>10646.0</v>
      </c>
      <c r="I347" s="32" t="str">
        <f t="shared" si="17"/>
        <v>10646-GSB-N/A</v>
      </c>
      <c r="J347" s="32"/>
      <c r="K347" s="24"/>
      <c r="L347" s="24"/>
      <c r="M347" s="33"/>
      <c r="N347" s="33"/>
      <c r="O347" s="33"/>
      <c r="P347" s="33"/>
    </row>
    <row r="348">
      <c r="A348" s="22">
        <v>46275.0</v>
      </c>
      <c r="B348" s="2" t="s">
        <v>34</v>
      </c>
      <c r="C348" s="2" t="s">
        <v>35</v>
      </c>
      <c r="D348" s="2" t="s">
        <v>67</v>
      </c>
      <c r="E348" s="24">
        <v>1.0</v>
      </c>
      <c r="F348" s="24" t="s">
        <v>728</v>
      </c>
      <c r="G348" s="24" t="s">
        <v>35</v>
      </c>
      <c r="H348" s="2">
        <v>10647.0</v>
      </c>
      <c r="I348" s="32" t="str">
        <f t="shared" si="17"/>
        <v>10647-GSB-N/A</v>
      </c>
      <c r="J348" s="32"/>
      <c r="K348" s="24"/>
      <c r="L348" s="24"/>
      <c r="M348" s="33"/>
      <c r="N348" s="33"/>
      <c r="O348" s="33"/>
      <c r="P348" s="33"/>
    </row>
    <row r="349">
      <c r="A349" s="22">
        <v>46275.0</v>
      </c>
      <c r="B349" s="2" t="s">
        <v>34</v>
      </c>
      <c r="C349" s="2" t="s">
        <v>35</v>
      </c>
      <c r="D349" s="2" t="s">
        <v>67</v>
      </c>
      <c r="E349" s="24">
        <v>1.0</v>
      </c>
      <c r="F349" s="24" t="s">
        <v>729</v>
      </c>
      <c r="G349" s="24" t="s">
        <v>35</v>
      </c>
      <c r="H349" s="2">
        <v>10648.0</v>
      </c>
      <c r="I349" s="32" t="str">
        <f t="shared" si="17"/>
        <v>10648-GSB-N/A</v>
      </c>
      <c r="J349" s="32"/>
      <c r="K349" s="24"/>
      <c r="L349" s="24"/>
      <c r="M349" s="33"/>
      <c r="N349" s="33"/>
      <c r="O349" s="33"/>
      <c r="P349" s="33"/>
    </row>
    <row r="350">
      <c r="A350" s="22">
        <v>46275.0</v>
      </c>
      <c r="B350" s="2" t="s">
        <v>34</v>
      </c>
      <c r="C350" s="2" t="s">
        <v>35</v>
      </c>
      <c r="D350" s="2" t="s">
        <v>67</v>
      </c>
      <c r="E350" s="24">
        <v>1.0</v>
      </c>
      <c r="F350" s="24" t="s">
        <v>730</v>
      </c>
      <c r="G350" s="24" t="s">
        <v>35</v>
      </c>
      <c r="H350" s="2">
        <v>10649.0</v>
      </c>
      <c r="I350" s="32" t="str">
        <f t="shared" si="17"/>
        <v>10649-GSB-N/A</v>
      </c>
      <c r="J350" s="32"/>
      <c r="K350" s="24"/>
      <c r="L350" s="24"/>
      <c r="M350" s="33"/>
      <c r="N350" s="33"/>
      <c r="O350" s="33"/>
      <c r="P350" s="33"/>
    </row>
    <row r="351">
      <c r="A351" s="22">
        <v>46275.0</v>
      </c>
      <c r="B351" s="2" t="s">
        <v>34</v>
      </c>
      <c r="C351" s="2" t="s">
        <v>35</v>
      </c>
      <c r="D351" s="2" t="s">
        <v>67</v>
      </c>
      <c r="E351" s="24">
        <v>1.0</v>
      </c>
      <c r="F351" s="24" t="s">
        <v>732</v>
      </c>
      <c r="G351" s="24" t="s">
        <v>35</v>
      </c>
      <c r="H351" s="2">
        <v>10650.0</v>
      </c>
      <c r="I351" s="32" t="str">
        <f t="shared" si="17"/>
        <v>10650-GSB-N/A</v>
      </c>
      <c r="J351" s="32"/>
      <c r="K351" s="24"/>
      <c r="L351" s="24"/>
      <c r="M351" s="33"/>
      <c r="N351" s="33"/>
      <c r="O351" s="33"/>
      <c r="P351" s="33"/>
    </row>
    <row r="352">
      <c r="A352" s="22">
        <v>46275.0</v>
      </c>
      <c r="B352" s="2" t="s">
        <v>34</v>
      </c>
      <c r="C352" s="2" t="s">
        <v>35</v>
      </c>
      <c r="D352" s="2" t="s">
        <v>67</v>
      </c>
      <c r="E352" s="24">
        <v>1.0</v>
      </c>
      <c r="F352" s="24" t="s">
        <v>734</v>
      </c>
      <c r="G352" s="24" t="s">
        <v>35</v>
      </c>
      <c r="H352" s="2">
        <v>10651.0</v>
      </c>
      <c r="I352" s="32" t="str">
        <f t="shared" si="17"/>
        <v>10651-GSB-N/A</v>
      </c>
      <c r="J352" s="32"/>
      <c r="K352" s="24"/>
      <c r="L352" s="24"/>
      <c r="M352" s="33"/>
      <c r="N352" s="33"/>
      <c r="O352" s="33"/>
      <c r="P352" s="33"/>
    </row>
    <row r="353">
      <c r="A353" s="22">
        <v>46275.0</v>
      </c>
      <c r="B353" s="2" t="s">
        <v>34</v>
      </c>
      <c r="C353" s="2" t="s">
        <v>35</v>
      </c>
      <c r="D353" s="2" t="s">
        <v>67</v>
      </c>
      <c r="E353" s="24">
        <v>1.0</v>
      </c>
      <c r="F353" s="24" t="s">
        <v>736</v>
      </c>
      <c r="G353" s="24" t="s">
        <v>35</v>
      </c>
      <c r="H353" s="2">
        <v>10653.0</v>
      </c>
      <c r="I353" s="32" t="str">
        <f t="shared" si="17"/>
        <v>10653-GSB-N/A</v>
      </c>
      <c r="J353" s="32"/>
      <c r="K353" s="24"/>
      <c r="L353" s="24"/>
      <c r="M353" s="33"/>
      <c r="N353" s="33"/>
      <c r="O353" s="33"/>
      <c r="P353" s="33"/>
    </row>
    <row r="354">
      <c r="A354" s="22">
        <v>46275.0</v>
      </c>
      <c r="B354" s="2" t="s">
        <v>34</v>
      </c>
      <c r="C354" s="2" t="s">
        <v>35</v>
      </c>
      <c r="D354" s="2" t="s">
        <v>67</v>
      </c>
      <c r="E354" s="24">
        <v>1.0</v>
      </c>
      <c r="F354" s="24" t="s">
        <v>738</v>
      </c>
      <c r="G354" s="24" t="s">
        <v>35</v>
      </c>
      <c r="H354" s="2">
        <v>10654.0</v>
      </c>
      <c r="I354" s="32" t="str">
        <f t="shared" si="17"/>
        <v>10654-GSB-N/A</v>
      </c>
      <c r="J354" s="32"/>
      <c r="K354" s="24"/>
      <c r="L354" s="24"/>
      <c r="M354" s="33"/>
      <c r="N354" s="33"/>
      <c r="O354" s="33"/>
      <c r="P354" s="33"/>
    </row>
    <row r="355">
      <c r="A355" s="22">
        <v>46275.0</v>
      </c>
      <c r="B355" s="2" t="s">
        <v>34</v>
      </c>
      <c r="C355" s="2" t="s">
        <v>35</v>
      </c>
      <c r="D355" s="2" t="s">
        <v>67</v>
      </c>
      <c r="E355" s="24">
        <v>1.0</v>
      </c>
      <c r="F355" s="24" t="s">
        <v>739</v>
      </c>
      <c r="G355" s="24" t="s">
        <v>35</v>
      </c>
      <c r="H355" s="2">
        <v>10655.0</v>
      </c>
      <c r="I355" s="32" t="str">
        <f t="shared" si="17"/>
        <v>10655-GSB-N/A</v>
      </c>
      <c r="J355" s="32"/>
      <c r="K355" s="24"/>
      <c r="L355" s="24"/>
      <c r="M355" s="33"/>
      <c r="N355" s="33"/>
      <c r="O355" s="33"/>
      <c r="P355" s="33"/>
    </row>
    <row r="356">
      <c r="A356" s="22"/>
      <c r="B356" s="2"/>
      <c r="C356" s="2"/>
      <c r="D356" s="2"/>
      <c r="E356" s="24"/>
      <c r="F356" s="24"/>
      <c r="G356" s="24"/>
      <c r="H356" s="2"/>
      <c r="I356" s="32"/>
      <c r="J356" s="32"/>
      <c r="K356" s="24"/>
      <c r="L356" s="24"/>
      <c r="M356" s="33"/>
      <c r="N356" s="33"/>
      <c r="O356" s="33"/>
      <c r="P356" s="33"/>
    </row>
    <row r="357">
      <c r="A357" s="22"/>
      <c r="B357" s="2"/>
      <c r="C357" s="2"/>
      <c r="D357" s="2"/>
      <c r="E357" s="24"/>
      <c r="F357" s="24"/>
      <c r="G357" s="24"/>
      <c r="H357" s="2"/>
      <c r="I357" s="32"/>
      <c r="J357" s="32"/>
      <c r="K357" s="24"/>
      <c r="L357" s="24"/>
      <c r="M357" s="33"/>
      <c r="N357" s="33"/>
      <c r="O357" s="33"/>
      <c r="P357" s="33"/>
    </row>
    <row r="358">
      <c r="A358" s="22"/>
      <c r="B358" s="2"/>
      <c r="C358" s="2"/>
      <c r="D358" s="2"/>
      <c r="E358" s="24"/>
      <c r="F358" s="24"/>
      <c r="G358" s="24"/>
      <c r="H358" s="2"/>
      <c r="I358" s="32"/>
      <c r="J358" s="32"/>
      <c r="K358" s="24"/>
      <c r="L358" s="24"/>
      <c r="M358" s="33"/>
      <c r="N358" s="33"/>
      <c r="O358" s="33"/>
      <c r="P358" s="33"/>
    </row>
    <row r="359">
      <c r="A359" s="22"/>
      <c r="B359" s="2"/>
      <c r="C359" s="2"/>
      <c r="D359" s="2"/>
      <c r="E359" s="24"/>
      <c r="F359" s="24"/>
      <c r="G359" s="24"/>
      <c r="H359" s="2"/>
      <c r="I359" s="32"/>
      <c r="J359" s="32"/>
      <c r="K359" s="24"/>
      <c r="L359" s="24"/>
      <c r="M359" s="33"/>
      <c r="N359" s="33"/>
      <c r="O359" s="33"/>
      <c r="P359" s="33"/>
    </row>
    <row r="360">
      <c r="A360" s="22"/>
      <c r="B360" s="2"/>
      <c r="C360" s="2"/>
      <c r="D360" s="2"/>
      <c r="E360" s="24"/>
      <c r="F360" s="24"/>
      <c r="G360" s="24"/>
      <c r="H360" s="2"/>
      <c r="I360" s="32"/>
      <c r="J360" s="32"/>
      <c r="K360" s="24"/>
      <c r="L360" s="24"/>
      <c r="M360" s="33"/>
      <c r="N360" s="33"/>
      <c r="O360" s="33"/>
      <c r="P360" s="33"/>
    </row>
    <row r="361">
      <c r="A361" s="22"/>
      <c r="B361" s="2"/>
      <c r="C361" s="2"/>
      <c r="D361" s="2"/>
      <c r="E361" s="24"/>
      <c r="F361" s="24"/>
      <c r="G361" s="24"/>
      <c r="H361" s="2"/>
      <c r="I361" s="32"/>
      <c r="J361" s="32"/>
      <c r="K361" s="24"/>
      <c r="L361" s="24"/>
      <c r="M361" s="33"/>
      <c r="N361" s="33"/>
      <c r="O361" s="33"/>
      <c r="P361" s="33"/>
    </row>
    <row r="362">
      <c r="A362" s="22"/>
      <c r="B362" s="2"/>
      <c r="C362" s="2"/>
      <c r="D362" s="2"/>
      <c r="E362" s="24"/>
      <c r="F362" s="24"/>
      <c r="G362" s="24"/>
      <c r="H362" s="2"/>
      <c r="I362" s="32"/>
      <c r="J362" s="32"/>
      <c r="K362" s="24"/>
      <c r="L362" s="24"/>
      <c r="M362" s="33"/>
      <c r="N362" s="33"/>
      <c r="O362" s="33"/>
      <c r="P362" s="33"/>
    </row>
    <row r="363">
      <c r="A363" s="22"/>
      <c r="B363" s="2"/>
      <c r="C363" s="2"/>
      <c r="D363" s="2"/>
      <c r="E363" s="24"/>
      <c r="F363" s="24"/>
      <c r="G363" s="24"/>
      <c r="H363" s="2"/>
      <c r="I363" s="32"/>
      <c r="J363" s="32"/>
      <c r="K363" s="24"/>
      <c r="L363" s="24"/>
      <c r="M363" s="33"/>
      <c r="N363" s="33"/>
      <c r="O363" s="33"/>
      <c r="P363" s="33"/>
    </row>
    <row r="364">
      <c r="A364" s="22"/>
      <c r="B364" s="2"/>
      <c r="C364" s="2"/>
      <c r="D364" s="2"/>
      <c r="E364" s="24"/>
      <c r="F364" s="24"/>
      <c r="G364" s="24"/>
      <c r="H364" s="2"/>
      <c r="I364" s="32"/>
      <c r="J364" s="32"/>
      <c r="K364" s="24"/>
      <c r="L364" s="24"/>
      <c r="M364" s="33"/>
      <c r="N364" s="33"/>
      <c r="O364" s="33"/>
      <c r="P364" s="33"/>
    </row>
    <row r="365">
      <c r="A365" s="22"/>
      <c r="B365" s="2"/>
      <c r="C365" s="2"/>
      <c r="D365" s="2"/>
      <c r="E365" s="24"/>
      <c r="F365" s="24"/>
      <c r="G365" s="24"/>
      <c r="H365" s="2"/>
      <c r="I365" s="32"/>
      <c r="J365" s="32"/>
      <c r="K365" s="24"/>
      <c r="L365" s="24"/>
      <c r="M365" s="33"/>
      <c r="N365" s="33"/>
      <c r="O365" s="33"/>
      <c r="P365" s="33"/>
    </row>
    <row r="366">
      <c r="A366" s="22"/>
      <c r="B366" s="2"/>
      <c r="C366" s="2"/>
      <c r="D366" s="2"/>
      <c r="E366" s="24"/>
      <c r="F366" s="24"/>
      <c r="G366" s="24"/>
      <c r="H366" s="2"/>
      <c r="I366" s="32"/>
      <c r="J366" s="32"/>
      <c r="K366" s="24"/>
      <c r="L366" s="24"/>
      <c r="M366" s="33"/>
      <c r="N366" s="33"/>
      <c r="O366" s="33"/>
      <c r="P366" s="33"/>
    </row>
    <row r="367">
      <c r="A367" s="22"/>
      <c r="B367" s="2"/>
      <c r="C367" s="2"/>
      <c r="D367" s="2"/>
      <c r="E367" s="24"/>
      <c r="F367" s="24"/>
      <c r="G367" s="24"/>
      <c r="H367" s="2"/>
      <c r="I367" s="32"/>
      <c r="J367" s="32"/>
      <c r="K367" s="24"/>
      <c r="L367" s="24"/>
      <c r="M367" s="33"/>
      <c r="N367" s="33"/>
      <c r="O367" s="33"/>
      <c r="P367" s="33"/>
    </row>
    <row r="368">
      <c r="A368" s="22"/>
      <c r="B368" s="2"/>
      <c r="C368" s="2"/>
      <c r="D368" s="2"/>
      <c r="E368" s="24"/>
      <c r="F368" s="24"/>
      <c r="G368" s="24"/>
      <c r="H368" s="2"/>
      <c r="I368" s="32"/>
      <c r="J368" s="32"/>
      <c r="K368" s="24"/>
      <c r="L368" s="24"/>
      <c r="M368" s="33"/>
      <c r="N368" s="33"/>
      <c r="O368" s="33"/>
      <c r="P368" s="33"/>
    </row>
    <row r="369">
      <c r="A369" s="22"/>
      <c r="B369" s="2"/>
      <c r="C369" s="2"/>
      <c r="D369" s="2"/>
      <c r="E369" s="24"/>
      <c r="F369" s="24"/>
      <c r="G369" s="24"/>
      <c r="H369" s="2"/>
      <c r="I369" s="32"/>
      <c r="J369" s="32"/>
      <c r="K369" s="24"/>
      <c r="L369" s="24"/>
      <c r="M369" s="33"/>
      <c r="N369" s="33"/>
      <c r="O369" s="33"/>
      <c r="P369" s="33"/>
    </row>
    <row r="370">
      <c r="A370" s="22"/>
      <c r="B370" s="2"/>
      <c r="C370" s="2"/>
      <c r="D370" s="2"/>
      <c r="E370" s="24"/>
      <c r="F370" s="24"/>
      <c r="G370" s="24"/>
      <c r="H370" s="2"/>
      <c r="I370" s="32"/>
      <c r="J370" s="32"/>
      <c r="K370" s="24"/>
      <c r="L370" s="24"/>
      <c r="M370" s="33"/>
      <c r="N370" s="33"/>
      <c r="O370" s="33"/>
      <c r="P370" s="33"/>
    </row>
    <row r="371">
      <c r="A371" s="22"/>
      <c r="B371" s="2"/>
      <c r="C371" s="2"/>
      <c r="D371" s="2"/>
      <c r="E371" s="24"/>
      <c r="F371" s="24"/>
      <c r="G371" s="24"/>
      <c r="H371" s="2"/>
      <c r="I371" s="32"/>
      <c r="J371" s="32"/>
      <c r="K371" s="24"/>
      <c r="L371" s="24"/>
      <c r="M371" s="33"/>
      <c r="N371" s="33"/>
      <c r="O371" s="33"/>
      <c r="P371" s="33"/>
    </row>
    <row r="372">
      <c r="A372" s="22"/>
      <c r="B372" s="2"/>
      <c r="C372" s="2"/>
      <c r="D372" s="2"/>
      <c r="E372" s="24"/>
      <c r="F372" s="24"/>
      <c r="G372" s="24"/>
      <c r="H372" s="2"/>
      <c r="I372" s="32"/>
      <c r="J372" s="32"/>
      <c r="K372" s="24"/>
      <c r="L372" s="24"/>
      <c r="M372" s="33"/>
      <c r="N372" s="33"/>
      <c r="O372" s="33"/>
      <c r="P372" s="33"/>
    </row>
    <row r="373">
      <c r="A373" s="22"/>
      <c r="B373" s="2"/>
      <c r="C373" s="2"/>
      <c r="D373" s="2"/>
      <c r="E373" s="24"/>
      <c r="F373" s="24"/>
      <c r="G373" s="24"/>
      <c r="H373" s="2"/>
      <c r="I373" s="32"/>
      <c r="J373" s="32"/>
      <c r="K373" s="24"/>
      <c r="L373" s="24"/>
      <c r="M373" s="33"/>
      <c r="N373" s="33"/>
      <c r="O373" s="33"/>
      <c r="P373" s="33"/>
    </row>
    <row r="374">
      <c r="A374" s="22"/>
      <c r="B374" s="2"/>
      <c r="C374" s="2"/>
      <c r="D374" s="2"/>
      <c r="E374" s="24"/>
      <c r="F374" s="24"/>
      <c r="G374" s="24"/>
      <c r="H374" s="2"/>
      <c r="I374" s="32"/>
      <c r="J374" s="32"/>
      <c r="K374" s="24"/>
      <c r="L374" s="24"/>
      <c r="M374" s="33"/>
      <c r="N374" s="33"/>
      <c r="O374" s="33"/>
      <c r="P374" s="33"/>
    </row>
    <row r="375">
      <c r="A375" s="22"/>
      <c r="B375" s="2"/>
      <c r="C375" s="2"/>
      <c r="D375" s="2"/>
      <c r="E375" s="24"/>
      <c r="F375" s="24"/>
      <c r="G375" s="24"/>
      <c r="H375" s="2"/>
      <c r="I375" s="32"/>
      <c r="J375" s="32"/>
      <c r="K375" s="24"/>
      <c r="L375" s="24"/>
      <c r="M375" s="33"/>
      <c r="N375" s="33"/>
      <c r="O375" s="33"/>
      <c r="P375" s="33"/>
    </row>
    <row r="376">
      <c r="A376" s="22"/>
      <c r="B376" s="2"/>
      <c r="C376" s="2"/>
      <c r="D376" s="2"/>
      <c r="E376" s="24"/>
      <c r="F376" s="24"/>
      <c r="G376" s="24"/>
      <c r="H376" s="2"/>
      <c r="I376" s="32"/>
      <c r="J376" s="32"/>
      <c r="K376" s="24"/>
      <c r="L376" s="24"/>
      <c r="M376" s="33"/>
      <c r="N376" s="33"/>
      <c r="O376" s="33"/>
      <c r="P376" s="33"/>
    </row>
    <row r="377">
      <c r="A377" s="22"/>
      <c r="B377" s="2"/>
      <c r="C377" s="2"/>
      <c r="D377" s="2"/>
      <c r="E377" s="24"/>
      <c r="F377" s="24"/>
      <c r="G377" s="24"/>
      <c r="H377" s="2"/>
      <c r="I377" s="32"/>
      <c r="J377" s="32"/>
      <c r="K377" s="24"/>
      <c r="L377" s="24"/>
      <c r="M377" s="33"/>
      <c r="N377" s="33"/>
      <c r="O377" s="33"/>
      <c r="P377" s="33"/>
    </row>
    <row r="378">
      <c r="A378" s="22"/>
      <c r="B378" s="2"/>
      <c r="C378" s="2"/>
      <c r="D378" s="2"/>
      <c r="E378" s="24"/>
      <c r="F378" s="24"/>
      <c r="G378" s="24"/>
      <c r="H378" s="2"/>
      <c r="I378" s="32"/>
      <c r="J378" s="32"/>
      <c r="K378" s="24"/>
      <c r="L378" s="24"/>
      <c r="M378" s="33"/>
      <c r="N378" s="33"/>
      <c r="O378" s="33"/>
      <c r="P378" s="33"/>
    </row>
    <row r="379">
      <c r="A379" s="22"/>
      <c r="B379" s="2"/>
      <c r="C379" s="2"/>
      <c r="D379" s="2"/>
      <c r="E379" s="24"/>
      <c r="F379" s="24"/>
      <c r="G379" s="24"/>
      <c r="H379" s="2"/>
      <c r="I379" s="32"/>
      <c r="J379" s="32"/>
      <c r="K379" s="24"/>
      <c r="L379" s="24"/>
      <c r="M379" s="33"/>
      <c r="N379" s="33"/>
      <c r="O379" s="33"/>
      <c r="P379" s="33"/>
    </row>
    <row r="380">
      <c r="A380" s="22"/>
      <c r="B380" s="2"/>
      <c r="C380" s="2"/>
      <c r="D380" s="2"/>
      <c r="E380" s="24"/>
      <c r="F380" s="24"/>
      <c r="G380" s="24"/>
      <c r="H380" s="2"/>
      <c r="I380" s="32"/>
      <c r="J380" s="32"/>
      <c r="K380" s="24"/>
      <c r="L380" s="24"/>
      <c r="M380" s="33"/>
      <c r="N380" s="33"/>
      <c r="O380" s="33"/>
      <c r="P380" s="33"/>
    </row>
    <row r="381">
      <c r="A381" s="22"/>
      <c r="B381" s="2"/>
      <c r="C381" s="2"/>
      <c r="D381" s="2"/>
      <c r="E381" s="24"/>
      <c r="F381" s="24"/>
      <c r="G381" s="24"/>
      <c r="H381" s="2"/>
      <c r="I381" s="32"/>
      <c r="J381" s="32"/>
      <c r="K381" s="24"/>
      <c r="L381" s="24"/>
      <c r="M381" s="33"/>
      <c r="N381" s="33"/>
      <c r="O381" s="33"/>
      <c r="P381" s="33"/>
    </row>
    <row r="382">
      <c r="A382" s="22"/>
      <c r="B382" s="2"/>
      <c r="C382" s="2"/>
      <c r="D382" s="2"/>
      <c r="E382" s="24"/>
      <c r="F382" s="24"/>
      <c r="G382" s="24"/>
      <c r="H382" s="2"/>
      <c r="I382" s="32"/>
      <c r="J382" s="32"/>
      <c r="K382" s="24"/>
      <c r="L382" s="24"/>
      <c r="M382" s="33"/>
      <c r="N382" s="33"/>
      <c r="O382" s="33"/>
      <c r="P382" s="33"/>
    </row>
    <row r="383">
      <c r="A383" s="22"/>
      <c r="B383" s="2"/>
      <c r="C383" s="2"/>
      <c r="D383" s="2"/>
      <c r="E383" s="24"/>
      <c r="F383" s="24"/>
      <c r="G383" s="24"/>
      <c r="H383" s="2"/>
      <c r="I383" s="32"/>
      <c r="J383" s="32"/>
      <c r="K383" s="24"/>
      <c r="L383" s="24"/>
      <c r="M383" s="33"/>
      <c r="N383" s="33"/>
      <c r="O383" s="33"/>
      <c r="P383" s="33"/>
    </row>
    <row r="384">
      <c r="A384" s="22"/>
      <c r="B384" s="2"/>
      <c r="C384" s="2"/>
      <c r="D384" s="2"/>
      <c r="E384" s="24"/>
      <c r="F384" s="24"/>
      <c r="G384" s="24"/>
      <c r="H384" s="2"/>
      <c r="I384" s="32"/>
      <c r="J384" s="32"/>
      <c r="K384" s="24"/>
      <c r="L384" s="24"/>
      <c r="M384" s="33"/>
      <c r="N384" s="33"/>
      <c r="O384" s="33"/>
      <c r="P384" s="33"/>
    </row>
    <row r="385">
      <c r="A385" s="22"/>
      <c r="B385" s="2"/>
      <c r="C385" s="2"/>
      <c r="D385" s="2"/>
      <c r="E385" s="24"/>
      <c r="F385" s="24"/>
      <c r="G385" s="24"/>
      <c r="H385" s="2"/>
      <c r="I385" s="32"/>
      <c r="J385" s="32"/>
      <c r="K385" s="24"/>
      <c r="L385" s="24"/>
      <c r="M385" s="33"/>
      <c r="N385" s="33"/>
      <c r="O385" s="33"/>
      <c r="P385" s="33"/>
    </row>
    <row r="386">
      <c r="A386" s="22"/>
      <c r="B386" s="2"/>
      <c r="C386" s="2"/>
      <c r="D386" s="2"/>
      <c r="E386" s="24"/>
      <c r="F386" s="24"/>
      <c r="G386" s="24"/>
      <c r="H386" s="2"/>
      <c r="I386" s="32"/>
      <c r="J386" s="32"/>
      <c r="K386" s="24"/>
      <c r="L386" s="24"/>
      <c r="M386" s="33"/>
      <c r="N386" s="33"/>
      <c r="O386" s="33"/>
      <c r="P386" s="33"/>
    </row>
    <row r="387">
      <c r="A387" s="22"/>
      <c r="B387" s="2"/>
      <c r="C387" s="2"/>
      <c r="D387" s="2"/>
      <c r="E387" s="24"/>
      <c r="F387" s="24"/>
      <c r="G387" s="24"/>
      <c r="H387" s="2"/>
      <c r="I387" s="32"/>
      <c r="J387" s="32"/>
      <c r="K387" s="24"/>
      <c r="L387" s="24"/>
      <c r="M387" s="33"/>
      <c r="N387" s="33"/>
      <c r="O387" s="33"/>
      <c r="P387" s="33"/>
    </row>
    <row r="388">
      <c r="A388" s="22"/>
      <c r="B388" s="2"/>
      <c r="C388" s="2"/>
      <c r="D388" s="2"/>
      <c r="E388" s="24"/>
      <c r="F388" s="24"/>
      <c r="G388" s="24"/>
      <c r="H388" s="2"/>
      <c r="I388" s="32"/>
      <c r="J388" s="32"/>
      <c r="K388" s="24"/>
      <c r="L388" s="24"/>
      <c r="M388" s="33"/>
      <c r="N388" s="33"/>
      <c r="O388" s="33"/>
      <c r="P388" s="33"/>
    </row>
    <row r="389">
      <c r="A389" s="22"/>
      <c r="B389" s="2"/>
      <c r="C389" s="2"/>
      <c r="D389" s="2"/>
      <c r="E389" s="24"/>
      <c r="F389" s="24"/>
      <c r="G389" s="24"/>
      <c r="H389" s="2"/>
      <c r="I389" s="32"/>
      <c r="J389" s="32"/>
      <c r="K389" s="24"/>
      <c r="L389" s="24"/>
      <c r="M389" s="33"/>
      <c r="N389" s="33"/>
      <c r="O389" s="33"/>
      <c r="P389" s="33"/>
    </row>
    <row r="390">
      <c r="A390" s="22"/>
      <c r="B390" s="2"/>
      <c r="C390" s="2"/>
      <c r="D390" s="2"/>
      <c r="E390" s="24"/>
      <c r="F390" s="24"/>
      <c r="G390" s="24"/>
      <c r="H390" s="2"/>
      <c r="I390" s="32"/>
      <c r="J390" s="32"/>
      <c r="K390" s="24"/>
      <c r="L390" s="24"/>
      <c r="M390" s="33"/>
      <c r="N390" s="33"/>
      <c r="O390" s="33"/>
      <c r="P390" s="33"/>
    </row>
    <row r="391">
      <c r="A391" s="22"/>
      <c r="B391" s="2"/>
      <c r="C391" s="2"/>
      <c r="D391" s="2"/>
      <c r="E391" s="24"/>
      <c r="F391" s="24"/>
      <c r="G391" s="24"/>
      <c r="H391" s="2"/>
      <c r="I391" s="32"/>
      <c r="J391" s="32"/>
      <c r="K391" s="24"/>
      <c r="L391" s="24"/>
      <c r="M391" s="33"/>
      <c r="N391" s="33"/>
      <c r="O391" s="33"/>
      <c r="P391" s="33"/>
    </row>
    <row r="392">
      <c r="A392" s="22"/>
      <c r="B392" s="2"/>
      <c r="C392" s="2"/>
      <c r="D392" s="2"/>
      <c r="E392" s="24"/>
      <c r="F392" s="24"/>
      <c r="G392" s="24"/>
      <c r="H392" s="2"/>
      <c r="I392" s="32"/>
      <c r="J392" s="32"/>
      <c r="K392" s="24"/>
      <c r="L392" s="24"/>
      <c r="M392" s="33"/>
      <c r="N392" s="33"/>
      <c r="O392" s="33"/>
      <c r="P392" s="33"/>
    </row>
    <row r="393">
      <c r="A393" s="22"/>
      <c r="B393" s="2"/>
      <c r="C393" s="2"/>
      <c r="D393" s="2"/>
      <c r="E393" s="24"/>
      <c r="F393" s="24"/>
      <c r="G393" s="24"/>
      <c r="H393" s="2"/>
      <c r="I393" s="32"/>
      <c r="J393" s="32"/>
      <c r="K393" s="24"/>
      <c r="L393" s="24"/>
      <c r="M393" s="33"/>
      <c r="N393" s="33"/>
      <c r="O393" s="33"/>
      <c r="P393" s="33"/>
    </row>
    <row r="394">
      <c r="A394" s="22"/>
      <c r="B394" s="2"/>
      <c r="C394" s="2"/>
      <c r="D394" s="2"/>
      <c r="E394" s="24"/>
      <c r="F394" s="24"/>
      <c r="G394" s="24"/>
      <c r="H394" s="2"/>
      <c r="I394" s="32"/>
      <c r="J394" s="32"/>
      <c r="K394" s="24"/>
      <c r="L394" s="24"/>
      <c r="M394" s="33"/>
      <c r="N394" s="33"/>
      <c r="O394" s="33"/>
      <c r="P394" s="33"/>
    </row>
    <row r="395">
      <c r="A395" s="22"/>
      <c r="B395" s="2"/>
      <c r="C395" s="2"/>
      <c r="D395" s="2"/>
      <c r="E395" s="24"/>
      <c r="F395" s="24"/>
      <c r="G395" s="24"/>
      <c r="H395" s="2"/>
      <c r="I395" s="32"/>
      <c r="J395" s="32"/>
      <c r="K395" s="24"/>
      <c r="L395" s="24"/>
      <c r="M395" s="33"/>
      <c r="N395" s="33"/>
      <c r="O395" s="33"/>
      <c r="P395" s="33"/>
    </row>
    <row r="396">
      <c r="A396" s="22"/>
      <c r="B396" s="2"/>
      <c r="C396" s="2"/>
      <c r="D396" s="2"/>
      <c r="E396" s="24"/>
      <c r="F396" s="24"/>
      <c r="G396" s="24"/>
      <c r="H396" s="2"/>
      <c r="I396" s="32"/>
      <c r="J396" s="32"/>
      <c r="K396" s="24"/>
      <c r="L396" s="24"/>
      <c r="M396" s="33"/>
      <c r="N396" s="33"/>
      <c r="O396" s="33"/>
      <c r="P396" s="33"/>
    </row>
    <row r="397">
      <c r="A397" s="22"/>
      <c r="B397" s="2"/>
      <c r="C397" s="2"/>
      <c r="D397" s="2"/>
      <c r="E397" s="24"/>
      <c r="F397" s="24"/>
      <c r="G397" s="24"/>
      <c r="H397" s="2"/>
      <c r="I397" s="32"/>
      <c r="J397" s="32"/>
      <c r="K397" s="24"/>
      <c r="L397" s="24"/>
      <c r="M397" s="33"/>
      <c r="N397" s="33"/>
      <c r="O397" s="33"/>
      <c r="P397" s="33"/>
    </row>
    <row r="398">
      <c r="A398" s="22"/>
      <c r="B398" s="2"/>
      <c r="C398" s="2"/>
      <c r="D398" s="2"/>
      <c r="E398" s="24"/>
      <c r="F398" s="24"/>
      <c r="G398" s="24"/>
      <c r="H398" s="2"/>
      <c r="I398" s="32"/>
      <c r="J398" s="32"/>
      <c r="K398" s="24"/>
      <c r="L398" s="24"/>
      <c r="M398" s="33"/>
      <c r="N398" s="33"/>
      <c r="O398" s="33"/>
      <c r="P398" s="33"/>
    </row>
    <row r="399">
      <c r="A399" s="22"/>
      <c r="B399" s="2"/>
      <c r="C399" s="2"/>
      <c r="D399" s="2"/>
      <c r="E399" s="24"/>
      <c r="F399" s="24"/>
      <c r="G399" s="24"/>
      <c r="H399" s="2"/>
      <c r="I399" s="32"/>
      <c r="J399" s="32"/>
      <c r="K399" s="24"/>
      <c r="L399" s="24"/>
      <c r="M399" s="33"/>
      <c r="N399" s="33"/>
      <c r="O399" s="33"/>
      <c r="P399" s="33"/>
    </row>
    <row r="400">
      <c r="A400" s="22"/>
      <c r="B400" s="2"/>
      <c r="C400" s="2"/>
      <c r="D400" s="2"/>
      <c r="E400" s="24"/>
      <c r="F400" s="24"/>
      <c r="G400" s="24"/>
      <c r="H400" s="2"/>
      <c r="I400" s="32"/>
      <c r="J400" s="32"/>
      <c r="K400" s="24"/>
      <c r="L400" s="24"/>
      <c r="M400" s="33"/>
      <c r="N400" s="33"/>
      <c r="O400" s="33"/>
      <c r="P400" s="33"/>
    </row>
    <row r="401">
      <c r="A401" s="22"/>
      <c r="B401" s="2"/>
      <c r="C401" s="2"/>
      <c r="D401" s="2"/>
      <c r="E401" s="24"/>
      <c r="F401" s="24"/>
      <c r="G401" s="24"/>
      <c r="H401" s="2"/>
      <c r="I401" s="32"/>
      <c r="J401" s="32"/>
      <c r="K401" s="24"/>
      <c r="L401" s="24"/>
      <c r="M401" s="33"/>
      <c r="N401" s="33"/>
      <c r="O401" s="33"/>
      <c r="P401" s="33"/>
    </row>
    <row r="402">
      <c r="A402" s="22"/>
      <c r="B402" s="2"/>
      <c r="C402" s="2"/>
      <c r="D402" s="2"/>
      <c r="E402" s="24"/>
      <c r="F402" s="24"/>
      <c r="G402" s="24"/>
      <c r="H402" s="2"/>
      <c r="I402" s="32"/>
      <c r="J402" s="32"/>
      <c r="K402" s="24"/>
      <c r="L402" s="24"/>
      <c r="M402" s="33"/>
      <c r="N402" s="33"/>
      <c r="O402" s="33"/>
      <c r="P402" s="33"/>
    </row>
    <row r="403">
      <c r="A403" s="22"/>
      <c r="B403" s="2"/>
      <c r="C403" s="2"/>
      <c r="D403" s="2"/>
      <c r="E403" s="24"/>
      <c r="F403" s="24"/>
      <c r="G403" s="24"/>
      <c r="H403" s="2"/>
      <c r="I403" s="32"/>
      <c r="J403" s="32"/>
      <c r="K403" s="24"/>
      <c r="L403" s="24"/>
      <c r="M403" s="33"/>
      <c r="N403" s="33"/>
      <c r="O403" s="33"/>
      <c r="P403" s="33"/>
    </row>
    <row r="404">
      <c r="A404" s="22"/>
      <c r="B404" s="2"/>
      <c r="C404" s="2"/>
      <c r="D404" s="2"/>
      <c r="E404" s="24"/>
      <c r="F404" s="24"/>
      <c r="G404" s="24"/>
      <c r="H404" s="2"/>
      <c r="I404" s="32"/>
      <c r="J404" s="32"/>
      <c r="K404" s="24"/>
      <c r="L404" s="24"/>
      <c r="M404" s="33"/>
      <c r="N404" s="33"/>
      <c r="O404" s="33"/>
      <c r="P404" s="33"/>
    </row>
    <row r="405">
      <c r="A405" s="22"/>
      <c r="B405" s="2"/>
      <c r="C405" s="2"/>
      <c r="D405" s="2"/>
      <c r="E405" s="24"/>
      <c r="F405" s="24"/>
      <c r="G405" s="24"/>
      <c r="H405" s="2"/>
      <c r="I405" s="32"/>
      <c r="J405" s="32"/>
      <c r="K405" s="24"/>
      <c r="L405" s="24"/>
      <c r="M405" s="33"/>
      <c r="N405" s="33"/>
      <c r="O405" s="33"/>
      <c r="P405" s="33"/>
    </row>
    <row r="406">
      <c r="A406" s="22"/>
      <c r="B406" s="2"/>
      <c r="C406" s="2"/>
      <c r="D406" s="2"/>
      <c r="E406" s="24"/>
      <c r="F406" s="24"/>
      <c r="G406" s="24"/>
      <c r="H406" s="2"/>
      <c r="I406" s="32"/>
      <c r="J406" s="32"/>
      <c r="K406" s="24"/>
      <c r="L406" s="24"/>
      <c r="M406" s="33"/>
      <c r="N406" s="33"/>
      <c r="O406" s="33"/>
      <c r="P406" s="33"/>
    </row>
    <row r="407">
      <c r="A407" s="22"/>
      <c r="B407" s="2"/>
      <c r="C407" s="2"/>
      <c r="D407" s="2"/>
      <c r="E407" s="24"/>
      <c r="F407" s="24"/>
      <c r="G407" s="24"/>
      <c r="H407" s="2"/>
      <c r="I407" s="32"/>
      <c r="J407" s="32"/>
      <c r="K407" s="24"/>
      <c r="L407" s="24"/>
      <c r="M407" s="33"/>
      <c r="N407" s="33"/>
      <c r="O407" s="33"/>
      <c r="P407" s="33"/>
    </row>
    <row r="408">
      <c r="A408" s="22"/>
      <c r="B408" s="2"/>
      <c r="C408" s="2"/>
      <c r="D408" s="2"/>
      <c r="E408" s="24"/>
      <c r="F408" s="24"/>
      <c r="G408" s="24"/>
      <c r="H408" s="2"/>
      <c r="I408" s="32"/>
      <c r="J408" s="32"/>
      <c r="K408" s="24"/>
      <c r="L408" s="24"/>
      <c r="M408" s="33"/>
      <c r="N408" s="33"/>
      <c r="O408" s="33"/>
      <c r="P408" s="33"/>
    </row>
    <row r="409">
      <c r="A409" s="22"/>
      <c r="B409" s="2"/>
      <c r="C409" s="2"/>
      <c r="D409" s="2"/>
      <c r="E409" s="24"/>
      <c r="F409" s="24"/>
      <c r="G409" s="24"/>
      <c r="H409" s="2"/>
      <c r="I409" s="32"/>
      <c r="J409" s="32"/>
      <c r="K409" s="24"/>
      <c r="L409" s="24"/>
      <c r="M409" s="33"/>
      <c r="N409" s="33"/>
      <c r="O409" s="33"/>
      <c r="P409" s="33"/>
    </row>
    <row r="410">
      <c r="A410" s="22"/>
      <c r="B410" s="2"/>
      <c r="C410" s="2"/>
      <c r="D410" s="2"/>
      <c r="E410" s="24"/>
      <c r="F410" s="24"/>
      <c r="G410" s="24"/>
      <c r="H410" s="2"/>
      <c r="I410" s="32"/>
      <c r="J410" s="32"/>
      <c r="K410" s="24"/>
      <c r="L410" s="24"/>
      <c r="M410" s="33"/>
      <c r="N410" s="33"/>
      <c r="O410" s="33"/>
      <c r="P410" s="33"/>
    </row>
    <row r="411">
      <c r="A411" s="22"/>
      <c r="B411" s="2"/>
      <c r="C411" s="2"/>
      <c r="D411" s="2"/>
      <c r="E411" s="24"/>
      <c r="F411" s="24"/>
      <c r="G411" s="24"/>
      <c r="H411" s="2"/>
      <c r="I411" s="32"/>
      <c r="J411" s="32"/>
      <c r="K411" s="24"/>
      <c r="L411" s="24"/>
      <c r="M411" s="33"/>
      <c r="N411" s="33"/>
      <c r="O411" s="33"/>
      <c r="P411" s="33"/>
    </row>
    <row r="412">
      <c r="A412" s="22"/>
      <c r="B412" s="2"/>
      <c r="C412" s="2"/>
      <c r="D412" s="2"/>
      <c r="E412" s="24"/>
      <c r="F412" s="24"/>
      <c r="G412" s="24"/>
      <c r="H412" s="2"/>
      <c r="I412" s="32"/>
      <c r="J412" s="32"/>
      <c r="K412" s="24"/>
      <c r="L412" s="24"/>
      <c r="M412" s="33"/>
      <c r="N412" s="33"/>
      <c r="O412" s="33"/>
      <c r="P412" s="33"/>
    </row>
    <row r="413">
      <c r="A413" s="22"/>
      <c r="B413" s="2"/>
      <c r="C413" s="2"/>
      <c r="D413" s="2"/>
      <c r="E413" s="24"/>
      <c r="F413" s="24"/>
      <c r="G413" s="24"/>
      <c r="H413" s="2"/>
      <c r="I413" s="32"/>
      <c r="J413" s="32"/>
      <c r="K413" s="24"/>
      <c r="L413" s="24"/>
      <c r="M413" s="33"/>
      <c r="N413" s="33"/>
      <c r="O413" s="33"/>
      <c r="P413" s="33"/>
    </row>
    <row r="414">
      <c r="A414" s="22"/>
      <c r="B414" s="2"/>
      <c r="C414" s="2"/>
      <c r="D414" s="2"/>
      <c r="E414" s="24"/>
      <c r="F414" s="24"/>
      <c r="G414" s="24"/>
      <c r="H414" s="2"/>
      <c r="I414" s="32"/>
      <c r="J414" s="32"/>
      <c r="K414" s="24"/>
      <c r="L414" s="24"/>
      <c r="M414" s="33"/>
      <c r="N414" s="33"/>
      <c r="O414" s="33"/>
      <c r="P414" s="33"/>
    </row>
    <row r="415">
      <c r="A415" s="22"/>
      <c r="B415" s="2"/>
      <c r="C415" s="2"/>
      <c r="D415" s="2"/>
      <c r="E415" s="24"/>
      <c r="F415" s="24"/>
      <c r="G415" s="24"/>
      <c r="H415" s="2"/>
      <c r="I415" s="32"/>
      <c r="J415" s="32"/>
      <c r="K415" s="24"/>
      <c r="L415" s="24"/>
      <c r="M415" s="33"/>
      <c r="N415" s="33"/>
      <c r="O415" s="33"/>
      <c r="P415" s="33"/>
    </row>
    <row r="416">
      <c r="A416" s="22"/>
      <c r="B416" s="2"/>
      <c r="C416" s="2"/>
      <c r="D416" s="2"/>
      <c r="E416" s="24"/>
      <c r="F416" s="24"/>
      <c r="G416" s="24"/>
      <c r="H416" s="2"/>
      <c r="I416" s="32"/>
      <c r="J416" s="32"/>
      <c r="K416" s="24"/>
      <c r="L416" s="24"/>
      <c r="M416" s="33"/>
      <c r="N416" s="33"/>
      <c r="O416" s="33"/>
      <c r="P416" s="33"/>
    </row>
    <row r="417">
      <c r="A417" s="22"/>
      <c r="B417" s="2"/>
      <c r="C417" s="2"/>
      <c r="D417" s="2"/>
      <c r="E417" s="24"/>
      <c r="F417" s="24"/>
      <c r="G417" s="24"/>
      <c r="H417" s="2"/>
      <c r="I417" s="32"/>
      <c r="J417" s="32"/>
      <c r="K417" s="24"/>
      <c r="L417" s="24"/>
      <c r="M417" s="33"/>
      <c r="N417" s="33"/>
      <c r="O417" s="33"/>
      <c r="P417" s="33"/>
    </row>
    <row r="418">
      <c r="A418" s="22"/>
      <c r="B418" s="2"/>
      <c r="C418" s="2"/>
      <c r="D418" s="2"/>
      <c r="E418" s="24"/>
      <c r="F418" s="24"/>
      <c r="G418" s="24"/>
      <c r="H418" s="2"/>
      <c r="I418" s="32"/>
      <c r="J418" s="32"/>
      <c r="K418" s="24"/>
      <c r="L418" s="24"/>
      <c r="M418" s="33"/>
      <c r="N418" s="33"/>
      <c r="O418" s="33"/>
      <c r="P418" s="33"/>
    </row>
    <row r="419">
      <c r="A419" s="22"/>
      <c r="B419" s="2"/>
      <c r="C419" s="2"/>
      <c r="D419" s="2"/>
      <c r="E419" s="24"/>
      <c r="F419" s="24"/>
      <c r="G419" s="24"/>
      <c r="H419" s="2"/>
      <c r="I419" s="32"/>
      <c r="J419" s="32"/>
      <c r="K419" s="24"/>
      <c r="L419" s="24"/>
      <c r="M419" s="33"/>
      <c r="N419" s="33"/>
      <c r="O419" s="33"/>
      <c r="P419" s="33"/>
    </row>
    <row r="420">
      <c r="A420" s="22"/>
      <c r="B420" s="2"/>
      <c r="C420" s="2"/>
      <c r="D420" s="2"/>
      <c r="E420" s="24"/>
      <c r="F420" s="24"/>
      <c r="G420" s="24"/>
      <c r="H420" s="2"/>
      <c r="I420" s="32"/>
      <c r="J420" s="32"/>
      <c r="K420" s="24"/>
      <c r="L420" s="24"/>
      <c r="M420" s="33"/>
      <c r="N420" s="33"/>
      <c r="O420" s="33"/>
      <c r="P420" s="33"/>
    </row>
    <row r="421">
      <c r="A421" s="22"/>
      <c r="B421" s="2"/>
      <c r="C421" s="2"/>
      <c r="D421" s="2"/>
      <c r="E421" s="24"/>
      <c r="F421" s="24"/>
      <c r="G421" s="24"/>
      <c r="H421" s="2"/>
      <c r="I421" s="32"/>
      <c r="J421" s="32"/>
      <c r="K421" s="24"/>
      <c r="L421" s="24"/>
      <c r="M421" s="33"/>
      <c r="N421" s="33"/>
      <c r="O421" s="33"/>
      <c r="P421" s="33"/>
    </row>
    <row r="422">
      <c r="A422" s="22"/>
      <c r="B422" s="24"/>
      <c r="C422" s="102"/>
      <c r="D422" s="2"/>
      <c r="E422" s="24"/>
      <c r="F422" s="24"/>
      <c r="G422" s="24"/>
      <c r="H422" s="2"/>
      <c r="I422" s="32"/>
      <c r="J422" s="32"/>
      <c r="K422" s="24"/>
      <c r="L422" s="24"/>
      <c r="M422" s="33"/>
      <c r="N422" s="33"/>
      <c r="O422" s="33"/>
      <c r="P422" s="33"/>
    </row>
    <row r="423">
      <c r="A423" s="22"/>
      <c r="B423" s="24"/>
      <c r="C423" s="102"/>
      <c r="D423" s="2"/>
      <c r="E423" s="24"/>
      <c r="F423" s="24"/>
      <c r="G423" s="24"/>
      <c r="H423" s="2"/>
      <c r="I423" s="32"/>
      <c r="J423" s="32"/>
      <c r="K423" s="24"/>
      <c r="L423" s="24"/>
      <c r="M423" s="33"/>
      <c r="N423" s="33"/>
      <c r="O423" s="33"/>
      <c r="P423" s="33"/>
    </row>
    <row r="424">
      <c r="A424" s="22"/>
      <c r="B424" s="24"/>
      <c r="C424" s="102"/>
      <c r="D424" s="2"/>
      <c r="E424" s="24"/>
      <c r="F424" s="24"/>
      <c r="G424" s="24"/>
      <c r="H424" s="2"/>
      <c r="I424" s="32"/>
      <c r="J424" s="32"/>
      <c r="K424" s="24"/>
      <c r="L424" s="24"/>
      <c r="M424" s="33"/>
      <c r="N424" s="33"/>
      <c r="O424" s="33"/>
      <c r="P424" s="33"/>
    </row>
    <row r="425">
      <c r="A425" s="22"/>
      <c r="B425" s="24"/>
      <c r="C425" s="102"/>
      <c r="D425" s="2"/>
      <c r="E425" s="24"/>
      <c r="F425" s="24"/>
      <c r="G425" s="24"/>
      <c r="H425" s="2"/>
      <c r="I425" s="32"/>
      <c r="J425" s="32"/>
      <c r="K425" s="24"/>
      <c r="L425" s="24"/>
      <c r="M425" s="33"/>
      <c r="N425" s="33"/>
      <c r="O425" s="33"/>
      <c r="P425" s="33"/>
    </row>
    <row r="426">
      <c r="A426" s="22"/>
      <c r="B426" s="24"/>
      <c r="C426" s="102"/>
      <c r="D426" s="2"/>
      <c r="E426" s="24"/>
      <c r="F426" s="24"/>
      <c r="G426" s="24"/>
      <c r="H426" s="2"/>
      <c r="I426" s="32"/>
      <c r="J426" s="32"/>
      <c r="K426" s="24"/>
      <c r="L426" s="24"/>
      <c r="M426" s="33"/>
      <c r="N426" s="33"/>
      <c r="O426" s="33"/>
      <c r="P426" s="33"/>
    </row>
    <row r="427">
      <c r="A427" s="22"/>
      <c r="B427" s="24"/>
      <c r="C427" s="102"/>
      <c r="D427" s="2"/>
      <c r="E427" s="24"/>
      <c r="F427" s="24"/>
      <c r="G427" s="24"/>
      <c r="H427" s="2"/>
      <c r="I427" s="32"/>
      <c r="J427" s="32"/>
      <c r="K427" s="24"/>
      <c r="L427" s="24"/>
      <c r="M427" s="33"/>
      <c r="N427" s="33"/>
      <c r="O427" s="33"/>
      <c r="P427" s="33"/>
    </row>
    <row r="428">
      <c r="A428" s="22"/>
      <c r="B428" s="24"/>
      <c r="C428" s="102"/>
      <c r="D428" s="2"/>
      <c r="E428" s="24"/>
      <c r="F428" s="24"/>
      <c r="G428" s="24"/>
      <c r="H428" s="2"/>
      <c r="I428" s="32"/>
      <c r="J428" s="32"/>
      <c r="K428" s="24"/>
      <c r="L428" s="24"/>
      <c r="M428" s="33"/>
      <c r="N428" s="33"/>
      <c r="O428" s="33"/>
      <c r="P428" s="33"/>
    </row>
    <row r="429">
      <c r="A429" s="22"/>
      <c r="B429" s="24"/>
      <c r="C429" s="102"/>
      <c r="D429" s="2"/>
      <c r="E429" s="24"/>
      <c r="F429" s="24"/>
      <c r="G429" s="24"/>
      <c r="H429" s="2"/>
      <c r="I429" s="32"/>
      <c r="J429" s="32"/>
      <c r="K429" s="24"/>
      <c r="L429" s="24"/>
      <c r="M429" s="33"/>
      <c r="N429" s="33"/>
      <c r="O429" s="33"/>
      <c r="P429" s="33"/>
    </row>
    <row r="430">
      <c r="A430" s="22"/>
      <c r="B430" s="24"/>
      <c r="C430" s="102"/>
      <c r="D430" s="2"/>
      <c r="E430" s="24"/>
      <c r="F430" s="24"/>
      <c r="G430" s="24"/>
      <c r="H430" s="2"/>
      <c r="I430" s="32"/>
      <c r="J430" s="32"/>
      <c r="K430" s="24"/>
      <c r="L430" s="24"/>
      <c r="M430" s="33"/>
      <c r="N430" s="33"/>
      <c r="O430" s="33"/>
      <c r="P430" s="33"/>
    </row>
    <row r="431">
      <c r="A431" s="22"/>
      <c r="B431" s="24"/>
      <c r="C431" s="102"/>
      <c r="D431" s="2"/>
      <c r="E431" s="24"/>
      <c r="F431" s="24"/>
      <c r="G431" s="24"/>
      <c r="H431" s="2"/>
      <c r="I431" s="32"/>
      <c r="J431" s="32"/>
      <c r="K431" s="24"/>
      <c r="L431" s="24"/>
      <c r="M431" s="33"/>
      <c r="N431" s="33"/>
      <c r="O431" s="33"/>
      <c r="P431" s="33"/>
    </row>
    <row r="432">
      <c r="A432" s="22"/>
      <c r="B432" s="24"/>
      <c r="C432" s="102"/>
      <c r="D432" s="2"/>
      <c r="E432" s="24"/>
      <c r="F432" s="24"/>
      <c r="G432" s="24"/>
      <c r="H432" s="2"/>
      <c r="I432" s="32"/>
      <c r="J432" s="32"/>
      <c r="K432" s="24"/>
      <c r="L432" s="24"/>
      <c r="M432" s="33"/>
      <c r="N432" s="33"/>
      <c r="O432" s="33"/>
      <c r="P432" s="33"/>
    </row>
    <row r="433">
      <c r="A433" s="22"/>
      <c r="B433" s="24"/>
      <c r="C433" s="102"/>
      <c r="D433" s="2"/>
      <c r="E433" s="24"/>
      <c r="F433" s="24"/>
      <c r="G433" s="24"/>
      <c r="H433" s="2"/>
      <c r="I433" s="32"/>
      <c r="J433" s="32"/>
      <c r="K433" s="24"/>
      <c r="L433" s="24"/>
      <c r="M433" s="33"/>
      <c r="N433" s="33"/>
      <c r="O433" s="33"/>
      <c r="P433" s="33"/>
    </row>
    <row r="434">
      <c r="A434" s="22"/>
      <c r="B434" s="24"/>
      <c r="C434" s="102"/>
      <c r="D434" s="2"/>
      <c r="E434" s="24"/>
      <c r="F434" s="24"/>
      <c r="G434" s="24"/>
      <c r="H434" s="2"/>
      <c r="I434" s="32"/>
      <c r="J434" s="32"/>
      <c r="K434" s="24"/>
      <c r="L434" s="24"/>
      <c r="M434" s="33"/>
      <c r="N434" s="33"/>
      <c r="O434" s="33"/>
      <c r="P434" s="33"/>
    </row>
    <row r="435">
      <c r="A435" s="22"/>
      <c r="B435" s="24"/>
      <c r="C435" s="102"/>
      <c r="D435" s="2"/>
      <c r="E435" s="24"/>
      <c r="F435" s="24"/>
      <c r="G435" s="24"/>
      <c r="H435" s="2"/>
      <c r="I435" s="32"/>
      <c r="J435" s="32"/>
      <c r="K435" s="24"/>
      <c r="L435" s="24"/>
      <c r="M435" s="33"/>
      <c r="N435" s="33"/>
      <c r="O435" s="33"/>
      <c r="P435" s="33"/>
    </row>
    <row r="436">
      <c r="A436" s="22"/>
      <c r="B436" s="24"/>
      <c r="C436" s="102"/>
      <c r="D436" s="2"/>
      <c r="E436" s="24"/>
      <c r="F436" s="24"/>
      <c r="G436" s="24"/>
      <c r="H436" s="2"/>
      <c r="I436" s="32"/>
      <c r="J436" s="32"/>
      <c r="K436" s="24"/>
      <c r="L436" s="24"/>
      <c r="M436" s="33"/>
      <c r="N436" s="33"/>
      <c r="O436" s="33"/>
      <c r="P436" s="33"/>
    </row>
    <row r="437">
      <c r="A437" s="22"/>
      <c r="B437" s="24"/>
      <c r="C437" s="102"/>
      <c r="D437" s="2"/>
      <c r="E437" s="24"/>
      <c r="F437" s="24"/>
      <c r="G437" s="24"/>
      <c r="H437" s="2"/>
      <c r="I437" s="32"/>
      <c r="J437" s="32"/>
      <c r="K437" s="24"/>
      <c r="L437" s="24"/>
      <c r="M437" s="33"/>
      <c r="N437" s="33"/>
      <c r="O437" s="33"/>
      <c r="P437" s="33"/>
    </row>
    <row r="438">
      <c r="A438" s="22"/>
      <c r="B438" s="24"/>
      <c r="C438" s="102"/>
      <c r="D438" s="2"/>
      <c r="E438" s="24"/>
      <c r="F438" s="24"/>
      <c r="G438" s="24"/>
      <c r="H438" s="2"/>
      <c r="I438" s="32"/>
      <c r="J438" s="32"/>
      <c r="K438" s="24"/>
      <c r="L438" s="24"/>
      <c r="M438" s="33"/>
      <c r="N438" s="33"/>
      <c r="O438" s="33"/>
      <c r="P438" s="33"/>
    </row>
    <row r="439">
      <c r="A439" s="22"/>
      <c r="B439" s="24"/>
      <c r="C439" s="102"/>
      <c r="D439" s="2"/>
      <c r="E439" s="24"/>
      <c r="F439" s="24"/>
      <c r="G439" s="24"/>
      <c r="H439" s="2"/>
      <c r="I439" s="32"/>
      <c r="J439" s="32"/>
      <c r="K439" s="24"/>
      <c r="L439" s="24"/>
      <c r="M439" s="33"/>
      <c r="N439" s="33"/>
      <c r="O439" s="33"/>
      <c r="P439" s="33"/>
    </row>
    <row r="440">
      <c r="A440" s="22"/>
      <c r="B440" s="24"/>
      <c r="C440" s="102"/>
      <c r="D440" s="2"/>
      <c r="E440" s="24"/>
      <c r="F440" s="24"/>
      <c r="G440" s="24"/>
      <c r="H440" s="2"/>
      <c r="I440" s="32"/>
      <c r="J440" s="32"/>
      <c r="K440" s="24"/>
      <c r="L440" s="24"/>
      <c r="M440" s="33"/>
      <c r="N440" s="33"/>
      <c r="O440" s="33"/>
      <c r="P440" s="33"/>
    </row>
    <row r="441">
      <c r="A441" s="22"/>
      <c r="B441" s="24"/>
      <c r="C441" s="102"/>
      <c r="D441" s="2"/>
      <c r="E441" s="24"/>
      <c r="F441" s="24"/>
      <c r="G441" s="24"/>
      <c r="H441" s="2"/>
      <c r="I441" s="32"/>
      <c r="J441" s="32"/>
      <c r="K441" s="24"/>
      <c r="L441" s="24"/>
      <c r="M441" s="33"/>
      <c r="N441" s="33"/>
      <c r="O441" s="33"/>
      <c r="P441" s="33"/>
    </row>
    <row r="442">
      <c r="A442" s="22"/>
      <c r="B442" s="24"/>
      <c r="C442" s="102"/>
      <c r="D442" s="2"/>
      <c r="E442" s="24"/>
      <c r="F442" s="24"/>
      <c r="G442" s="24"/>
      <c r="H442" s="2"/>
      <c r="I442" s="32"/>
      <c r="J442" s="32"/>
      <c r="K442" s="24"/>
      <c r="L442" s="24"/>
      <c r="M442" s="33"/>
      <c r="N442" s="33"/>
      <c r="O442" s="33"/>
      <c r="P442" s="33"/>
    </row>
    <row r="443">
      <c r="A443" s="22"/>
      <c r="B443" s="24"/>
      <c r="C443" s="102"/>
      <c r="D443" s="2"/>
      <c r="E443" s="24"/>
      <c r="F443" s="24"/>
      <c r="G443" s="24"/>
      <c r="H443" s="2"/>
      <c r="I443" s="32"/>
      <c r="J443" s="32"/>
      <c r="K443" s="24"/>
      <c r="L443" s="24"/>
      <c r="M443" s="33"/>
      <c r="N443" s="33"/>
      <c r="O443" s="33"/>
      <c r="P443" s="33"/>
    </row>
    <row r="444">
      <c r="A444" s="22"/>
      <c r="B444" s="24"/>
      <c r="C444" s="102"/>
      <c r="D444" s="2"/>
      <c r="E444" s="24"/>
      <c r="F444" s="24"/>
      <c r="G444" s="24"/>
      <c r="H444" s="2"/>
      <c r="I444" s="32"/>
      <c r="J444" s="32"/>
      <c r="K444" s="24"/>
      <c r="L444" s="24"/>
      <c r="M444" s="33"/>
      <c r="N444" s="33"/>
      <c r="O444" s="33"/>
      <c r="P444" s="33"/>
    </row>
    <row r="445">
      <c r="A445" s="22"/>
      <c r="B445" s="24"/>
      <c r="C445" s="102"/>
      <c r="D445" s="2"/>
      <c r="E445" s="24"/>
      <c r="F445" s="24"/>
      <c r="G445" s="24"/>
      <c r="H445" s="2"/>
      <c r="I445" s="32"/>
      <c r="J445" s="32"/>
      <c r="K445" s="24"/>
      <c r="L445" s="24"/>
      <c r="M445" s="33"/>
      <c r="N445" s="33"/>
      <c r="O445" s="33"/>
      <c r="P445" s="33"/>
    </row>
    <row r="446">
      <c r="A446" s="22"/>
      <c r="B446" s="24"/>
      <c r="C446" s="102"/>
      <c r="D446" s="2"/>
      <c r="E446" s="24"/>
      <c r="F446" s="24"/>
      <c r="G446" s="24"/>
      <c r="H446" s="2"/>
      <c r="I446" s="32"/>
      <c r="J446" s="32"/>
      <c r="K446" s="24"/>
      <c r="L446" s="24"/>
      <c r="M446" s="33"/>
      <c r="N446" s="33"/>
      <c r="O446" s="33"/>
      <c r="P446" s="33"/>
    </row>
    <row r="447">
      <c r="A447" s="22"/>
      <c r="B447" s="24"/>
      <c r="C447" s="102"/>
      <c r="D447" s="2"/>
      <c r="E447" s="24"/>
      <c r="F447" s="24"/>
      <c r="G447" s="24"/>
      <c r="H447" s="2"/>
      <c r="I447" s="32"/>
      <c r="J447" s="32"/>
      <c r="K447" s="24"/>
      <c r="L447" s="24"/>
      <c r="M447" s="33"/>
      <c r="N447" s="33"/>
      <c r="O447" s="33"/>
      <c r="P447" s="33"/>
    </row>
    <row r="448">
      <c r="A448" s="22"/>
      <c r="B448" s="24"/>
      <c r="C448" s="102"/>
      <c r="D448" s="2"/>
      <c r="E448" s="24"/>
      <c r="F448" s="24"/>
      <c r="G448" s="24"/>
      <c r="H448" s="2"/>
      <c r="I448" s="32"/>
      <c r="J448" s="32"/>
      <c r="K448" s="24"/>
      <c r="L448" s="24"/>
      <c r="M448" s="33"/>
      <c r="N448" s="33"/>
      <c r="O448" s="33"/>
      <c r="P448" s="33"/>
    </row>
    <row r="449">
      <c r="A449" s="22"/>
      <c r="B449" s="24"/>
      <c r="C449" s="102"/>
      <c r="D449" s="2"/>
      <c r="E449" s="24"/>
      <c r="F449" s="24"/>
      <c r="G449" s="24"/>
      <c r="H449" s="2"/>
      <c r="I449" s="32"/>
      <c r="J449" s="32"/>
      <c r="K449" s="24"/>
      <c r="L449" s="24"/>
      <c r="M449" s="33"/>
      <c r="N449" s="33"/>
      <c r="O449" s="33"/>
      <c r="P449" s="33"/>
    </row>
    <row r="450">
      <c r="A450" s="22"/>
      <c r="B450" s="24"/>
      <c r="C450" s="102"/>
      <c r="D450" s="2"/>
      <c r="E450" s="24"/>
      <c r="F450" s="24"/>
      <c r="G450" s="24"/>
      <c r="H450" s="2"/>
      <c r="I450" s="32"/>
      <c r="J450" s="32"/>
      <c r="K450" s="24"/>
      <c r="L450" s="24"/>
      <c r="M450" s="33"/>
      <c r="N450" s="33"/>
      <c r="O450" s="33"/>
      <c r="P450" s="33"/>
    </row>
    <row r="451">
      <c r="A451" s="22"/>
      <c r="B451" s="24"/>
      <c r="C451" s="102"/>
      <c r="D451" s="2"/>
      <c r="E451" s="24"/>
      <c r="F451" s="24"/>
      <c r="G451" s="24"/>
      <c r="H451" s="2"/>
      <c r="I451" s="32"/>
      <c r="J451" s="32"/>
      <c r="K451" s="24"/>
      <c r="L451" s="24"/>
      <c r="M451" s="33"/>
      <c r="N451" s="33"/>
      <c r="O451" s="33"/>
      <c r="P451" s="33"/>
    </row>
    <row r="452">
      <c r="A452" s="22"/>
      <c r="B452" s="24"/>
      <c r="C452" s="102"/>
      <c r="D452" s="2"/>
      <c r="E452" s="24"/>
      <c r="F452" s="24"/>
      <c r="G452" s="24"/>
      <c r="H452" s="2"/>
      <c r="I452" s="32"/>
      <c r="J452" s="32"/>
      <c r="K452" s="24"/>
      <c r="L452" s="24"/>
      <c r="M452" s="33"/>
      <c r="N452" s="33"/>
      <c r="O452" s="33"/>
      <c r="P452" s="33"/>
    </row>
    <row r="453">
      <c r="A453" s="22"/>
      <c r="B453" s="24"/>
      <c r="C453" s="102"/>
      <c r="D453" s="2"/>
      <c r="E453" s="24"/>
      <c r="F453" s="24"/>
      <c r="G453" s="24"/>
      <c r="H453" s="2"/>
      <c r="I453" s="32"/>
      <c r="J453" s="32"/>
      <c r="K453" s="24"/>
      <c r="L453" s="24"/>
      <c r="M453" s="33"/>
      <c r="N453" s="33"/>
      <c r="O453" s="33"/>
      <c r="P453" s="33"/>
    </row>
    <row r="454">
      <c r="A454" s="22"/>
      <c r="B454" s="24"/>
      <c r="C454" s="102"/>
      <c r="D454" s="2"/>
      <c r="E454" s="24"/>
      <c r="F454" s="24"/>
      <c r="G454" s="24"/>
      <c r="H454" s="2"/>
      <c r="I454" s="32"/>
      <c r="J454" s="32"/>
      <c r="K454" s="24"/>
      <c r="L454" s="24"/>
      <c r="M454" s="33"/>
      <c r="N454" s="33"/>
      <c r="O454" s="33"/>
      <c r="P454" s="33"/>
    </row>
  </sheetData>
  <autoFilter ref="$A$1:$L$338">
    <sortState ref="A1:L338">
      <sortCondition ref="D1:D338"/>
    </sortState>
  </autoFil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4.88"/>
    <col customWidth="1" min="2" max="2" width="17.38"/>
    <col customWidth="1" min="4" max="4" width="15.25"/>
  </cols>
  <sheetData>
    <row r="1">
      <c r="C1" s="10"/>
      <c r="D1" s="10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</row>
    <row r="2" hidden="1"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</row>
    <row r="9"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</row>
    <row r="11"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</row>
    <row r="13"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</row>
    <row r="15"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</row>
    <row r="19"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  <row r="20"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</row>
    <row r="21"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</row>
    <row r="22"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</row>
    <row r="23"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</row>
    <row r="24"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</row>
    <row r="25"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</row>
    <row r="26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>
      <c r="A34" s="17"/>
      <c r="B34" s="18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</row>
    <row r="35">
      <c r="A35" s="39"/>
      <c r="B35" s="18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</row>
    <row r="36">
      <c r="A36" s="17"/>
      <c r="B36" s="18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</row>
    <row r="37">
      <c r="A37" s="17"/>
      <c r="B37" s="18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</row>
  </sheetData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88"/>
    <col customWidth="1" min="2" max="2" width="14.88"/>
    <col customWidth="1" min="3" max="3" width="12.88"/>
    <col customWidth="1" min="4" max="4" width="51.75"/>
    <col customWidth="1" min="5" max="5" width="12.5"/>
    <col customWidth="1" min="6" max="7" width="21.63"/>
    <col customWidth="1" min="8" max="8" width="15.75"/>
    <col customWidth="1" min="9" max="9" width="28.38"/>
    <col customWidth="1" min="10" max="10" width="29.75"/>
    <col customWidth="1" min="11" max="11" width="27.38"/>
    <col customWidth="1" min="12" max="12" width="22.63"/>
    <col customWidth="1" min="13" max="13" width="21.63"/>
    <col customWidth="1" min="14" max="14" width="24.0"/>
    <col customWidth="1" min="15" max="15" width="30.63"/>
    <col customWidth="1" min="16" max="16" width="23.63"/>
  </cols>
  <sheetData>
    <row r="1">
      <c r="A1" s="1" t="s">
        <v>3</v>
      </c>
      <c r="B1" s="4" t="s">
        <v>7</v>
      </c>
      <c r="C1" s="6" t="s">
        <v>12</v>
      </c>
      <c r="D1" s="1" t="s">
        <v>0</v>
      </c>
      <c r="E1" s="1" t="s">
        <v>1</v>
      </c>
      <c r="F1" s="8" t="s">
        <v>14</v>
      </c>
      <c r="G1" s="12" t="s">
        <v>16</v>
      </c>
      <c r="H1" s="15" t="s">
        <v>19</v>
      </c>
      <c r="I1" s="1" t="s">
        <v>20</v>
      </c>
      <c r="J1" s="1" t="s">
        <v>22</v>
      </c>
      <c r="K1" s="1" t="s">
        <v>23</v>
      </c>
      <c r="L1" s="1" t="s">
        <v>24</v>
      </c>
      <c r="M1" s="1" t="s">
        <v>25</v>
      </c>
      <c r="N1" s="1" t="s">
        <v>26</v>
      </c>
      <c r="O1" s="1" t="s">
        <v>27</v>
      </c>
      <c r="P1" s="19" t="s">
        <v>30</v>
      </c>
      <c r="Q1" s="21"/>
      <c r="R1" s="21"/>
      <c r="S1" s="21"/>
      <c r="T1" s="21"/>
      <c r="U1" s="21"/>
      <c r="V1" s="21"/>
    </row>
    <row r="2">
      <c r="A2" s="23">
        <v>45897.0</v>
      </c>
      <c r="B2" s="25">
        <v>2.093501849E9</v>
      </c>
      <c r="C2" s="27" t="s">
        <v>40</v>
      </c>
      <c r="D2" s="28" t="s">
        <v>8</v>
      </c>
      <c r="E2" s="27">
        <v>1.0</v>
      </c>
      <c r="F2" s="27" t="s">
        <v>35</v>
      </c>
      <c r="G2" s="27" t="s">
        <v>44</v>
      </c>
      <c r="H2" s="28">
        <v>6755.0</v>
      </c>
      <c r="I2" s="30" t="str">
        <f t="shared" ref="I2:I387" si="1">CONCATENATE(H2,"-","GSB","-",G2)</f>
        <v>6755-GSB-042257953910020113</v>
      </c>
      <c r="J2" s="31" t="s">
        <v>53</v>
      </c>
      <c r="K2" s="27" t="s">
        <v>55</v>
      </c>
      <c r="L2" s="34" t="s">
        <v>58</v>
      </c>
      <c r="M2" s="35" t="s">
        <v>60</v>
      </c>
      <c r="N2" s="2">
        <v>2721.0</v>
      </c>
      <c r="O2" s="36" t="s">
        <v>65</v>
      </c>
      <c r="P2" s="37">
        <v>46055.0</v>
      </c>
      <c r="Q2" s="38"/>
      <c r="R2" s="38"/>
      <c r="S2" s="38"/>
      <c r="T2" s="38"/>
      <c r="U2" s="38"/>
      <c r="V2" s="38"/>
    </row>
    <row r="3">
      <c r="A3" s="23">
        <v>45897.0</v>
      </c>
      <c r="B3" s="25">
        <v>2.093501849E9</v>
      </c>
      <c r="C3" s="27" t="s">
        <v>40</v>
      </c>
      <c r="D3" s="28" t="s">
        <v>8</v>
      </c>
      <c r="E3" s="27">
        <v>1.0</v>
      </c>
      <c r="F3" s="27"/>
      <c r="G3" s="27" t="s">
        <v>68</v>
      </c>
      <c r="H3" s="28">
        <v>6751.0</v>
      </c>
      <c r="I3" s="30" t="str">
        <f t="shared" si="1"/>
        <v>6751-GSB-042257953910020103</v>
      </c>
      <c r="J3" s="31" t="s">
        <v>53</v>
      </c>
      <c r="K3" s="27" t="s">
        <v>55</v>
      </c>
      <c r="L3" s="34" t="s">
        <v>58</v>
      </c>
      <c r="M3" s="35" t="s">
        <v>60</v>
      </c>
      <c r="N3" s="2">
        <v>2733.0</v>
      </c>
      <c r="O3" s="36" t="s">
        <v>70</v>
      </c>
      <c r="P3" s="37">
        <v>46084.0</v>
      </c>
      <c r="Q3" s="38"/>
      <c r="R3" s="38"/>
      <c r="S3" s="38"/>
      <c r="T3" s="38"/>
      <c r="U3" s="38"/>
      <c r="V3" s="38"/>
    </row>
    <row r="4">
      <c r="A4" s="23">
        <v>45897.0</v>
      </c>
      <c r="B4" s="25">
        <v>2.093501849E9</v>
      </c>
      <c r="C4" s="27" t="s">
        <v>71</v>
      </c>
      <c r="D4" s="28" t="s">
        <v>50</v>
      </c>
      <c r="E4" s="27">
        <v>1.0</v>
      </c>
      <c r="F4" s="27"/>
      <c r="G4" s="27" t="s">
        <v>72</v>
      </c>
      <c r="H4" s="28">
        <v>2425.0</v>
      </c>
      <c r="I4" s="30" t="str">
        <f t="shared" si="1"/>
        <v>2425-GSB-042163653706100266</v>
      </c>
      <c r="J4" s="31" t="s">
        <v>53</v>
      </c>
      <c r="K4" s="27" t="s">
        <v>55</v>
      </c>
      <c r="L4" s="34">
        <v>46031.0</v>
      </c>
      <c r="M4" s="35" t="s">
        <v>60</v>
      </c>
      <c r="N4" s="2">
        <v>2729.0</v>
      </c>
      <c r="O4" s="36" t="s">
        <v>74</v>
      </c>
      <c r="P4" s="37">
        <v>46074.0</v>
      </c>
      <c r="Q4" s="38"/>
      <c r="R4" s="38"/>
      <c r="S4" s="38"/>
      <c r="T4" s="38"/>
      <c r="U4" s="38"/>
      <c r="V4" s="38"/>
    </row>
    <row r="5">
      <c r="A5" s="23">
        <v>45897.0</v>
      </c>
      <c r="B5" s="25">
        <v>2.093501849E9</v>
      </c>
      <c r="C5" s="27" t="s">
        <v>71</v>
      </c>
      <c r="D5" s="28" t="s">
        <v>50</v>
      </c>
      <c r="E5" s="27">
        <v>1.0</v>
      </c>
      <c r="F5" s="27"/>
      <c r="G5" s="27" t="s">
        <v>75</v>
      </c>
      <c r="H5" s="28">
        <v>2452.0</v>
      </c>
      <c r="I5" s="30" t="str">
        <f t="shared" si="1"/>
        <v>2452-GSB-042163653706100222</v>
      </c>
      <c r="J5" s="31" t="s">
        <v>53</v>
      </c>
      <c r="K5" s="27" t="s">
        <v>55</v>
      </c>
      <c r="L5" s="34">
        <v>46031.0</v>
      </c>
      <c r="M5" s="35" t="s">
        <v>60</v>
      </c>
      <c r="N5" s="2">
        <v>2746.0</v>
      </c>
      <c r="O5" s="36" t="s">
        <v>77</v>
      </c>
      <c r="P5" s="37">
        <v>46107.0</v>
      </c>
      <c r="Q5" s="38"/>
      <c r="R5" s="38"/>
      <c r="S5" s="38"/>
      <c r="T5" s="38"/>
      <c r="U5" s="38"/>
      <c r="V5" s="38"/>
    </row>
    <row r="6">
      <c r="A6" s="23">
        <v>45897.0</v>
      </c>
      <c r="B6" s="25">
        <v>2.093501849E9</v>
      </c>
      <c r="C6" s="27" t="s">
        <v>71</v>
      </c>
      <c r="D6" s="28" t="s">
        <v>50</v>
      </c>
      <c r="E6" s="27">
        <v>1.0</v>
      </c>
      <c r="F6" s="27"/>
      <c r="G6" s="27" t="s">
        <v>79</v>
      </c>
      <c r="H6" s="28">
        <v>2473.0</v>
      </c>
      <c r="I6" s="30" t="str">
        <f t="shared" si="1"/>
        <v>2473-GSB-042163653706100216</v>
      </c>
      <c r="J6" s="31" t="s">
        <v>53</v>
      </c>
      <c r="K6" s="27" t="s">
        <v>55</v>
      </c>
      <c r="L6" s="34">
        <v>46031.0</v>
      </c>
      <c r="M6" s="35" t="s">
        <v>60</v>
      </c>
      <c r="N6" s="2">
        <v>2746.0</v>
      </c>
      <c r="O6" s="36" t="s">
        <v>77</v>
      </c>
      <c r="P6" s="37">
        <v>46107.0</v>
      </c>
      <c r="Q6" s="38"/>
      <c r="R6" s="38"/>
      <c r="S6" s="38"/>
      <c r="T6" s="38"/>
      <c r="U6" s="38"/>
      <c r="V6" s="38"/>
    </row>
    <row r="7">
      <c r="A7" s="23">
        <v>45897.0</v>
      </c>
      <c r="B7" s="25">
        <v>2.093501849E9</v>
      </c>
      <c r="C7" s="27" t="s">
        <v>40</v>
      </c>
      <c r="D7" s="28" t="s">
        <v>8</v>
      </c>
      <c r="E7" s="27">
        <v>1.0</v>
      </c>
      <c r="F7" s="27"/>
      <c r="G7" s="27" t="s">
        <v>82</v>
      </c>
      <c r="H7" s="28">
        <v>5972.0</v>
      </c>
      <c r="I7" s="30" t="str">
        <f t="shared" si="1"/>
        <v>5972-GSB-042257948004020010</v>
      </c>
      <c r="J7" s="31" t="s">
        <v>84</v>
      </c>
      <c r="K7" s="27" t="s">
        <v>85</v>
      </c>
      <c r="L7" s="41">
        <v>46041.0</v>
      </c>
      <c r="M7" s="35" t="s">
        <v>60</v>
      </c>
      <c r="N7" s="2">
        <v>1944.0</v>
      </c>
      <c r="O7" s="36" t="s">
        <v>87</v>
      </c>
      <c r="P7" s="37">
        <v>46045.0</v>
      </c>
      <c r="Q7" s="38"/>
      <c r="R7" s="38"/>
      <c r="S7" s="38"/>
      <c r="T7" s="38"/>
      <c r="U7" s="38"/>
      <c r="V7" s="38"/>
    </row>
    <row r="8">
      <c r="A8" s="23">
        <v>45897.0</v>
      </c>
      <c r="B8" s="25">
        <v>2.093501849E9</v>
      </c>
      <c r="C8" s="27" t="s">
        <v>71</v>
      </c>
      <c r="D8" s="28" t="s">
        <v>50</v>
      </c>
      <c r="E8" s="27">
        <v>1.0</v>
      </c>
      <c r="F8" s="27"/>
      <c r="G8" s="27" t="s">
        <v>89</v>
      </c>
      <c r="H8" s="28">
        <v>2449.0</v>
      </c>
      <c r="I8" s="30" t="str">
        <f t="shared" si="1"/>
        <v>2449-GSB-042163653706100227</v>
      </c>
      <c r="J8" s="31" t="s">
        <v>84</v>
      </c>
      <c r="K8" s="27" t="s">
        <v>85</v>
      </c>
      <c r="L8" s="41">
        <v>46041.0</v>
      </c>
      <c r="M8" s="35" t="s">
        <v>60</v>
      </c>
      <c r="N8" s="2">
        <v>1944.0</v>
      </c>
      <c r="O8" s="36" t="s">
        <v>87</v>
      </c>
      <c r="P8" s="37">
        <v>46045.0</v>
      </c>
      <c r="Q8" s="38"/>
      <c r="R8" s="38"/>
      <c r="S8" s="38"/>
      <c r="T8" s="38"/>
      <c r="U8" s="38"/>
      <c r="V8" s="38"/>
    </row>
    <row r="9">
      <c r="A9" s="23">
        <v>45897.0</v>
      </c>
      <c r="B9" s="25">
        <v>2.093501849E9</v>
      </c>
      <c r="C9" s="27" t="s">
        <v>71</v>
      </c>
      <c r="D9" s="28" t="s">
        <v>50</v>
      </c>
      <c r="E9" s="27">
        <v>1.0</v>
      </c>
      <c r="F9" s="27"/>
      <c r="G9" s="27" t="s">
        <v>91</v>
      </c>
      <c r="H9" s="28">
        <v>6804.0</v>
      </c>
      <c r="I9" s="30" t="str">
        <f t="shared" si="1"/>
        <v>6804-GSB-042163647801100583</v>
      </c>
      <c r="J9" s="31" t="s">
        <v>84</v>
      </c>
      <c r="K9" s="27" t="s">
        <v>85</v>
      </c>
      <c r="L9" s="41">
        <v>46041.0</v>
      </c>
      <c r="M9" s="35" t="s">
        <v>60</v>
      </c>
      <c r="N9" s="2">
        <v>1945.0</v>
      </c>
      <c r="O9" s="36" t="s">
        <v>93</v>
      </c>
      <c r="P9" s="37">
        <v>46050.0</v>
      </c>
      <c r="Q9" s="38"/>
      <c r="R9" s="38"/>
      <c r="S9" s="38"/>
      <c r="T9" s="38"/>
      <c r="U9" s="38"/>
      <c r="V9" s="38"/>
    </row>
    <row r="10">
      <c r="A10" s="23">
        <v>46048.0</v>
      </c>
      <c r="B10" s="25" t="s">
        <v>94</v>
      </c>
      <c r="C10" s="27" t="s">
        <v>95</v>
      </c>
      <c r="D10" s="28" t="s">
        <v>9</v>
      </c>
      <c r="E10" s="27">
        <v>1.0</v>
      </c>
      <c r="F10" s="27"/>
      <c r="G10" s="27" t="s">
        <v>96</v>
      </c>
      <c r="H10" s="28">
        <v>9077.0</v>
      </c>
      <c r="I10" s="30" t="str">
        <f t="shared" si="1"/>
        <v>9077-GSB-042180244030100044</v>
      </c>
      <c r="J10" s="31" t="s">
        <v>97</v>
      </c>
      <c r="K10" s="27" t="s">
        <v>99</v>
      </c>
      <c r="L10" s="41">
        <v>46049.0</v>
      </c>
      <c r="M10" s="48" t="s">
        <v>60</v>
      </c>
      <c r="N10" s="2">
        <v>1748.0</v>
      </c>
      <c r="O10" s="36" t="s">
        <v>100</v>
      </c>
      <c r="P10" s="37">
        <v>46067.0</v>
      </c>
      <c r="Q10" s="38"/>
      <c r="R10" s="38"/>
      <c r="S10" s="38"/>
      <c r="T10" s="38"/>
      <c r="U10" s="38"/>
      <c r="V10" s="38"/>
    </row>
    <row r="11">
      <c r="A11" s="23">
        <v>45897.0</v>
      </c>
      <c r="B11" s="25">
        <v>2.093501849E9</v>
      </c>
      <c r="C11" s="27">
        <v>4.998117557E9</v>
      </c>
      <c r="D11" s="28" t="s">
        <v>5</v>
      </c>
      <c r="E11" s="27">
        <v>1.0</v>
      </c>
      <c r="F11" s="27"/>
      <c r="G11" s="27" t="s">
        <v>102</v>
      </c>
      <c r="H11" s="28">
        <v>5999.0</v>
      </c>
      <c r="I11" s="30" t="str">
        <f t="shared" si="1"/>
        <v>5999-GSB-092256847892120285</v>
      </c>
      <c r="J11" s="31" t="s">
        <v>103</v>
      </c>
      <c r="K11" s="27" t="s">
        <v>55</v>
      </c>
      <c r="L11" s="41">
        <v>46049.0</v>
      </c>
      <c r="M11" s="48" t="s">
        <v>104</v>
      </c>
      <c r="N11" s="2">
        <v>3061.0</v>
      </c>
      <c r="O11" s="51" t="s">
        <v>106</v>
      </c>
      <c r="P11" s="51"/>
      <c r="Q11" s="38"/>
      <c r="R11" s="38"/>
      <c r="S11" s="38"/>
      <c r="T11" s="38"/>
      <c r="U11" s="38"/>
      <c r="V11" s="38"/>
    </row>
    <row r="12">
      <c r="A12" s="23">
        <v>45897.0</v>
      </c>
      <c r="B12" s="25">
        <v>2.093501849E9</v>
      </c>
      <c r="C12" s="27" t="s">
        <v>108</v>
      </c>
      <c r="D12" s="28" t="s">
        <v>43</v>
      </c>
      <c r="E12" s="27">
        <v>1.0</v>
      </c>
      <c r="F12" s="27"/>
      <c r="G12" s="27">
        <v>2.0240007988E10</v>
      </c>
      <c r="H12" s="28">
        <v>6597.0</v>
      </c>
      <c r="I12" s="30" t="str">
        <f t="shared" si="1"/>
        <v>6597-GSB-20240007988</v>
      </c>
      <c r="J12" s="31" t="s">
        <v>110</v>
      </c>
      <c r="K12" s="27" t="s">
        <v>55</v>
      </c>
      <c r="L12" s="41">
        <v>46049.0</v>
      </c>
      <c r="M12" s="48" t="s">
        <v>60</v>
      </c>
      <c r="N12" s="2">
        <v>2720.0</v>
      </c>
      <c r="O12" s="36" t="s">
        <v>113</v>
      </c>
      <c r="P12" s="37">
        <v>46052.0</v>
      </c>
      <c r="Q12" s="38"/>
      <c r="R12" s="38"/>
      <c r="S12" s="38"/>
      <c r="T12" s="38"/>
      <c r="U12" s="38"/>
      <c r="V12" s="38"/>
    </row>
    <row r="13">
      <c r="A13" s="23">
        <v>45897.0</v>
      </c>
      <c r="B13" s="25">
        <v>2.093501849E9</v>
      </c>
      <c r="C13" s="27" t="s">
        <v>40</v>
      </c>
      <c r="D13" s="28" t="s">
        <v>8</v>
      </c>
      <c r="E13" s="27">
        <v>1.0</v>
      </c>
      <c r="F13" s="27"/>
      <c r="G13" s="27" t="s">
        <v>107</v>
      </c>
      <c r="H13" s="28">
        <v>6772.0</v>
      </c>
      <c r="I13" s="30" t="str">
        <f t="shared" si="1"/>
        <v>6772-GSB-042257953720020164</v>
      </c>
      <c r="J13" s="31" t="s">
        <v>111</v>
      </c>
      <c r="K13" s="27" t="s">
        <v>112</v>
      </c>
      <c r="L13" s="41">
        <v>46053.0</v>
      </c>
      <c r="M13" s="48" t="s">
        <v>60</v>
      </c>
      <c r="N13" s="2">
        <v>2570.0</v>
      </c>
      <c r="O13" s="36" t="s">
        <v>115</v>
      </c>
      <c r="P13" s="37">
        <v>46086.0</v>
      </c>
      <c r="Q13" s="38"/>
      <c r="R13" s="38"/>
      <c r="S13" s="38"/>
      <c r="T13" s="38"/>
      <c r="U13" s="38"/>
      <c r="V13" s="38"/>
    </row>
    <row r="14">
      <c r="A14" s="23">
        <v>45897.0</v>
      </c>
      <c r="B14" s="25">
        <v>2.093501849E9</v>
      </c>
      <c r="C14" s="27" t="s">
        <v>40</v>
      </c>
      <c r="D14" s="28" t="s">
        <v>8</v>
      </c>
      <c r="E14" s="27">
        <v>1.0</v>
      </c>
      <c r="F14" s="27"/>
      <c r="G14" s="27" t="s">
        <v>116</v>
      </c>
      <c r="H14" s="28">
        <v>5982.0</v>
      </c>
      <c r="I14" s="30" t="str">
        <f t="shared" si="1"/>
        <v>5982-GSB-042257948004020028</v>
      </c>
      <c r="J14" s="31" t="s">
        <v>111</v>
      </c>
      <c r="K14" s="27" t="s">
        <v>112</v>
      </c>
      <c r="L14" s="41">
        <v>46053.0</v>
      </c>
      <c r="M14" s="48" t="s">
        <v>60</v>
      </c>
      <c r="N14" s="2">
        <v>2558.0</v>
      </c>
      <c r="O14" s="36" t="s">
        <v>117</v>
      </c>
      <c r="P14" s="37">
        <v>46056.0</v>
      </c>
      <c r="Q14" s="38"/>
      <c r="R14" s="38"/>
      <c r="S14" s="38"/>
      <c r="T14" s="38"/>
      <c r="U14" s="38"/>
      <c r="V14" s="38"/>
    </row>
    <row r="15">
      <c r="A15" s="23">
        <v>45897.0</v>
      </c>
      <c r="B15" s="25">
        <v>2.093501849E9</v>
      </c>
      <c r="C15" s="27" t="s">
        <v>71</v>
      </c>
      <c r="D15" s="28" t="s">
        <v>50</v>
      </c>
      <c r="E15" s="27">
        <v>1.0</v>
      </c>
      <c r="F15" s="27"/>
      <c r="G15" s="27" t="s">
        <v>119</v>
      </c>
      <c r="H15" s="28">
        <v>2431.0</v>
      </c>
      <c r="I15" s="30" t="str">
        <f t="shared" si="1"/>
        <v>2431-GSB-042163653706100213</v>
      </c>
      <c r="J15" s="31" t="s">
        <v>111</v>
      </c>
      <c r="K15" s="27" t="s">
        <v>112</v>
      </c>
      <c r="L15" s="41">
        <v>46053.0</v>
      </c>
      <c r="M15" s="48" t="s">
        <v>60</v>
      </c>
      <c r="N15" s="36"/>
      <c r="O15" s="36"/>
      <c r="P15" s="36"/>
      <c r="Q15" s="38"/>
      <c r="R15" s="38"/>
      <c r="S15" s="38"/>
      <c r="T15" s="38"/>
      <c r="U15" s="38"/>
      <c r="V15" s="38"/>
    </row>
    <row r="16">
      <c r="A16" s="23">
        <v>45897.0</v>
      </c>
      <c r="B16" s="25">
        <v>2.093501849E9</v>
      </c>
      <c r="C16" s="27" t="s">
        <v>71</v>
      </c>
      <c r="D16" s="28" t="s">
        <v>50</v>
      </c>
      <c r="E16" s="27">
        <v>1.0</v>
      </c>
      <c r="F16" s="27"/>
      <c r="G16" s="27" t="s">
        <v>122</v>
      </c>
      <c r="H16" s="28">
        <v>2430.0</v>
      </c>
      <c r="I16" s="30" t="str">
        <f t="shared" si="1"/>
        <v>2430-GSB-042163653706100268</v>
      </c>
      <c r="J16" s="31" t="s">
        <v>111</v>
      </c>
      <c r="K16" s="27" t="s">
        <v>112</v>
      </c>
      <c r="L16" s="41">
        <v>46053.0</v>
      </c>
      <c r="M16" s="48" t="s">
        <v>60</v>
      </c>
      <c r="N16" s="36" t="s">
        <v>120</v>
      </c>
      <c r="O16" s="36" t="s">
        <v>120</v>
      </c>
      <c r="P16" s="36" t="s">
        <v>120</v>
      </c>
      <c r="Q16" s="38"/>
      <c r="R16" s="38"/>
      <c r="S16" s="38"/>
      <c r="T16" s="38"/>
      <c r="U16" s="38"/>
      <c r="V16" s="38"/>
    </row>
    <row r="17">
      <c r="A17" s="23">
        <v>45897.0</v>
      </c>
      <c r="B17" s="25"/>
      <c r="C17" s="27">
        <v>4.998114565E9</v>
      </c>
      <c r="D17" s="28" t="s">
        <v>2</v>
      </c>
      <c r="E17" s="27">
        <v>1.0</v>
      </c>
      <c r="F17" s="27"/>
      <c r="G17" s="27" t="s">
        <v>125</v>
      </c>
      <c r="H17" s="28">
        <v>2245.0</v>
      </c>
      <c r="I17" s="30" t="str">
        <f t="shared" si="1"/>
        <v>2245-GSB-SDS1034729</v>
      </c>
      <c r="J17" s="31" t="s">
        <v>126</v>
      </c>
      <c r="K17" s="27" t="s">
        <v>112</v>
      </c>
      <c r="L17" s="41">
        <v>46053.0</v>
      </c>
      <c r="M17" s="48" t="s">
        <v>60</v>
      </c>
      <c r="N17" s="36" t="s">
        <v>120</v>
      </c>
      <c r="O17" s="36" t="s">
        <v>120</v>
      </c>
      <c r="P17" s="36" t="s">
        <v>120</v>
      </c>
      <c r="Q17" s="38"/>
      <c r="R17" s="38"/>
      <c r="S17" s="38"/>
      <c r="T17" s="38"/>
      <c r="U17" s="38"/>
      <c r="V17" s="38"/>
    </row>
    <row r="18">
      <c r="A18" s="23">
        <v>45897.0</v>
      </c>
      <c r="B18" s="25"/>
      <c r="C18" s="27">
        <v>4.998114565E9</v>
      </c>
      <c r="D18" s="28" t="s">
        <v>2</v>
      </c>
      <c r="E18" s="27">
        <v>1.0</v>
      </c>
      <c r="F18" s="27"/>
      <c r="G18" s="27" t="s">
        <v>127</v>
      </c>
      <c r="H18" s="28">
        <v>2219.0</v>
      </c>
      <c r="I18" s="30" t="str">
        <f t="shared" si="1"/>
        <v>2219-GSB-SDS1034703</v>
      </c>
      <c r="J18" s="31" t="s">
        <v>126</v>
      </c>
      <c r="K18" s="27" t="s">
        <v>112</v>
      </c>
      <c r="L18" s="41">
        <v>46053.0</v>
      </c>
      <c r="M18" s="48" t="s">
        <v>60</v>
      </c>
      <c r="N18" s="36" t="s">
        <v>120</v>
      </c>
      <c r="O18" s="36" t="s">
        <v>120</v>
      </c>
      <c r="P18" s="36" t="s">
        <v>120</v>
      </c>
      <c r="Q18" s="38"/>
      <c r="R18" s="38"/>
      <c r="S18" s="38"/>
      <c r="T18" s="38"/>
      <c r="U18" s="38"/>
      <c r="V18" s="38"/>
    </row>
    <row r="19">
      <c r="A19" s="23">
        <v>45897.0</v>
      </c>
      <c r="B19" s="25"/>
      <c r="C19" s="27" t="s">
        <v>129</v>
      </c>
      <c r="D19" s="28" t="s">
        <v>130</v>
      </c>
      <c r="E19" s="27">
        <v>1.0</v>
      </c>
      <c r="F19" s="27"/>
      <c r="G19" s="27" t="s">
        <v>131</v>
      </c>
      <c r="H19" s="28">
        <v>2160.0</v>
      </c>
      <c r="I19" s="30" t="str">
        <f t="shared" si="1"/>
        <v>2160-GSB-093140347576520038</v>
      </c>
      <c r="J19" s="31" t="s">
        <v>126</v>
      </c>
      <c r="K19" s="27" t="s">
        <v>112</v>
      </c>
      <c r="L19" s="41">
        <v>46053.0</v>
      </c>
      <c r="M19" s="48" t="s">
        <v>60</v>
      </c>
      <c r="N19" s="36" t="s">
        <v>120</v>
      </c>
      <c r="O19" s="36" t="s">
        <v>120</v>
      </c>
      <c r="P19" s="36" t="s">
        <v>120</v>
      </c>
      <c r="Q19" s="38"/>
      <c r="R19" s="38"/>
      <c r="S19" s="38"/>
      <c r="T19" s="38"/>
      <c r="U19" s="38"/>
      <c r="V19" s="38"/>
    </row>
    <row r="20">
      <c r="A20" s="23">
        <v>45897.0</v>
      </c>
      <c r="B20" s="25"/>
      <c r="C20" s="27" t="s">
        <v>129</v>
      </c>
      <c r="D20" s="28" t="s">
        <v>130</v>
      </c>
      <c r="E20" s="27">
        <v>1.0</v>
      </c>
      <c r="F20" s="27"/>
      <c r="G20" s="27" t="s">
        <v>133</v>
      </c>
      <c r="H20" s="28">
        <v>2161.0</v>
      </c>
      <c r="I20" s="30" t="str">
        <f t="shared" si="1"/>
        <v>2161-GSB-093140347576520115</v>
      </c>
      <c r="J20" s="31" t="s">
        <v>126</v>
      </c>
      <c r="K20" s="27" t="s">
        <v>112</v>
      </c>
      <c r="L20" s="41">
        <v>46053.0</v>
      </c>
      <c r="M20" s="48" t="s">
        <v>60</v>
      </c>
      <c r="N20" s="36">
        <v>3190.0</v>
      </c>
      <c r="O20" s="36" t="s">
        <v>142</v>
      </c>
      <c r="P20" s="56">
        <v>46258.0</v>
      </c>
      <c r="Q20" s="38"/>
      <c r="R20" s="38"/>
      <c r="S20" s="38"/>
      <c r="T20" s="38"/>
      <c r="U20" s="38"/>
      <c r="V20" s="38"/>
    </row>
    <row r="21">
      <c r="A21" s="23">
        <v>45897.0</v>
      </c>
      <c r="B21" s="25"/>
      <c r="C21" s="27" t="s">
        <v>143</v>
      </c>
      <c r="D21" s="28" t="s">
        <v>10</v>
      </c>
      <c r="E21" s="27">
        <v>1.0</v>
      </c>
      <c r="F21" s="27"/>
      <c r="G21" s="27">
        <v>3.102001059E9</v>
      </c>
      <c r="H21" s="28">
        <v>7018.0</v>
      </c>
      <c r="I21" s="30" t="str">
        <f t="shared" si="1"/>
        <v>7018-GSB-3102001059</v>
      </c>
      <c r="J21" s="31" t="s">
        <v>144</v>
      </c>
      <c r="K21" s="27" t="s">
        <v>145</v>
      </c>
      <c r="L21" s="41" t="s">
        <v>146</v>
      </c>
      <c r="M21" s="48" t="s">
        <v>60</v>
      </c>
      <c r="N21" s="2">
        <v>2832.0</v>
      </c>
      <c r="O21" s="36" t="s">
        <v>147</v>
      </c>
      <c r="P21" s="37">
        <v>46055.0</v>
      </c>
      <c r="Q21" s="38"/>
      <c r="R21" s="38"/>
      <c r="S21" s="38"/>
      <c r="T21" s="38"/>
      <c r="U21" s="38"/>
      <c r="V21" s="38"/>
    </row>
    <row r="22">
      <c r="A22" s="23">
        <v>45897.0</v>
      </c>
      <c r="B22" s="25">
        <v>2.093501849E9</v>
      </c>
      <c r="C22" s="27" t="s">
        <v>148</v>
      </c>
      <c r="D22" s="28" t="s">
        <v>4</v>
      </c>
      <c r="E22" s="27">
        <v>1.0</v>
      </c>
      <c r="F22" s="27"/>
      <c r="G22" s="27" t="s">
        <v>35</v>
      </c>
      <c r="H22" s="28">
        <v>6816.0</v>
      </c>
      <c r="I22" s="30" t="str">
        <f t="shared" si="1"/>
        <v>6816-GSB-N/A</v>
      </c>
      <c r="J22" s="31" t="s">
        <v>144</v>
      </c>
      <c r="K22" s="27" t="s">
        <v>145</v>
      </c>
      <c r="L22" s="41" t="s">
        <v>146</v>
      </c>
      <c r="M22" s="48" t="s">
        <v>60</v>
      </c>
      <c r="N22" s="2">
        <v>2832.0</v>
      </c>
      <c r="O22" s="36" t="s">
        <v>147</v>
      </c>
      <c r="P22" s="37">
        <v>46055.0</v>
      </c>
      <c r="Q22" s="38"/>
      <c r="R22" s="38"/>
      <c r="S22" s="38"/>
      <c r="T22" s="38"/>
      <c r="U22" s="38"/>
      <c r="V22" s="38"/>
    </row>
    <row r="23">
      <c r="A23" s="23">
        <v>45897.0</v>
      </c>
      <c r="B23" s="25">
        <v>2.093501849E9</v>
      </c>
      <c r="C23" s="27">
        <v>4.998117557E9</v>
      </c>
      <c r="D23" s="28" t="s">
        <v>5</v>
      </c>
      <c r="E23" s="27">
        <v>1.0</v>
      </c>
      <c r="F23" s="27"/>
      <c r="G23" s="27" t="s">
        <v>150</v>
      </c>
      <c r="H23" s="28">
        <v>5719.0</v>
      </c>
      <c r="I23" s="30" t="str">
        <f t="shared" si="1"/>
        <v>5719-GSB-092256847706150190</v>
      </c>
      <c r="J23" s="31" t="s">
        <v>151</v>
      </c>
      <c r="K23" s="27" t="s">
        <v>152</v>
      </c>
      <c r="L23" s="41">
        <v>46053.0</v>
      </c>
      <c r="M23" s="48" t="s">
        <v>60</v>
      </c>
      <c r="N23" s="2">
        <v>2641.0</v>
      </c>
      <c r="O23" s="36" t="s">
        <v>153</v>
      </c>
      <c r="P23" s="37">
        <v>46121.0</v>
      </c>
      <c r="Q23" s="38"/>
      <c r="R23" s="38"/>
      <c r="S23" s="38"/>
      <c r="T23" s="38"/>
      <c r="U23" s="38"/>
      <c r="V23" s="38"/>
    </row>
    <row r="24">
      <c r="A24" s="23">
        <v>45897.0</v>
      </c>
      <c r="B24" s="25">
        <v>2.093501849E9</v>
      </c>
      <c r="C24" s="27" t="s">
        <v>108</v>
      </c>
      <c r="D24" s="28" t="s">
        <v>43</v>
      </c>
      <c r="E24" s="27">
        <v>1.0</v>
      </c>
      <c r="F24" s="27"/>
      <c r="G24" s="27">
        <v>2.0240007986E11</v>
      </c>
      <c r="H24" s="28">
        <v>6605.0</v>
      </c>
      <c r="I24" s="30" t="str">
        <f t="shared" si="1"/>
        <v>6605-GSB-202400079860</v>
      </c>
      <c r="J24" s="31" t="s">
        <v>151</v>
      </c>
      <c r="K24" s="27" t="s">
        <v>152</v>
      </c>
      <c r="L24" s="41">
        <v>46053.0</v>
      </c>
      <c r="M24" s="48" t="s">
        <v>60</v>
      </c>
      <c r="N24" s="2">
        <v>2616.0</v>
      </c>
      <c r="O24" s="36" t="s">
        <v>155</v>
      </c>
      <c r="P24" s="37">
        <v>46080.0</v>
      </c>
      <c r="Q24" s="38"/>
      <c r="R24" s="38"/>
      <c r="S24" s="38"/>
      <c r="T24" s="38"/>
      <c r="U24" s="38"/>
      <c r="V24" s="38"/>
    </row>
    <row r="25">
      <c r="A25" s="23">
        <v>45897.0</v>
      </c>
      <c r="B25" s="25">
        <v>2.093501849E9</v>
      </c>
      <c r="C25" s="27" t="s">
        <v>40</v>
      </c>
      <c r="D25" s="28" t="s">
        <v>8</v>
      </c>
      <c r="E25" s="27">
        <v>1.0</v>
      </c>
      <c r="F25" s="27"/>
      <c r="G25" s="27" t="s">
        <v>157</v>
      </c>
      <c r="H25" s="28">
        <v>5979.0</v>
      </c>
      <c r="I25" s="30" t="str">
        <f t="shared" si="1"/>
        <v>5979-GSB-042257948004020043</v>
      </c>
      <c r="J25" s="31" t="s">
        <v>151</v>
      </c>
      <c r="K25" s="27" t="s">
        <v>152</v>
      </c>
      <c r="L25" s="41">
        <v>46053.0</v>
      </c>
      <c r="M25" s="48" t="s">
        <v>60</v>
      </c>
      <c r="N25" s="2">
        <v>2613.0</v>
      </c>
      <c r="O25" s="36" t="s">
        <v>158</v>
      </c>
      <c r="P25" s="37">
        <v>46057.0</v>
      </c>
      <c r="Q25" s="38"/>
      <c r="R25" s="38"/>
      <c r="S25" s="38"/>
      <c r="T25" s="38"/>
      <c r="U25" s="38"/>
      <c r="V25" s="38"/>
    </row>
    <row r="26">
      <c r="A26" s="23">
        <v>45897.0</v>
      </c>
      <c r="B26" s="25"/>
      <c r="C26" s="27" t="s">
        <v>143</v>
      </c>
      <c r="D26" s="28" t="s">
        <v>10</v>
      </c>
      <c r="E26" s="27">
        <v>1.0</v>
      </c>
      <c r="F26" s="27"/>
      <c r="G26" s="27">
        <v>3.102001065E9</v>
      </c>
      <c r="H26" s="28">
        <v>7019.0</v>
      </c>
      <c r="I26" s="30" t="str">
        <f t="shared" si="1"/>
        <v>7019-GSB-3102001065</v>
      </c>
      <c r="J26" s="31" t="s">
        <v>151</v>
      </c>
      <c r="K26" s="27" t="s">
        <v>152</v>
      </c>
      <c r="L26" s="41">
        <v>46053.0</v>
      </c>
      <c r="M26" s="48" t="s">
        <v>60</v>
      </c>
      <c r="N26" s="2">
        <v>2614.0</v>
      </c>
      <c r="O26" s="36" t="s">
        <v>159</v>
      </c>
      <c r="P26" s="37">
        <v>46077.0</v>
      </c>
      <c r="Q26" s="38"/>
      <c r="R26" s="38"/>
      <c r="S26" s="38"/>
      <c r="T26" s="38"/>
      <c r="U26" s="38"/>
      <c r="V26" s="38"/>
    </row>
    <row r="27">
      <c r="A27" s="23">
        <v>45897.0</v>
      </c>
      <c r="B27" s="25">
        <v>2.093501849E9</v>
      </c>
      <c r="C27" s="27" t="s">
        <v>71</v>
      </c>
      <c r="D27" s="28" t="s">
        <v>50</v>
      </c>
      <c r="E27" s="27">
        <v>1.0</v>
      </c>
      <c r="F27" s="27"/>
      <c r="G27" s="27" t="s">
        <v>161</v>
      </c>
      <c r="H27" s="28">
        <v>2456.0</v>
      </c>
      <c r="I27" s="30" t="str">
        <f t="shared" si="1"/>
        <v>2456-GSB-042163653728100364</v>
      </c>
      <c r="J27" s="31" t="s">
        <v>151</v>
      </c>
      <c r="K27" s="27" t="s">
        <v>152</v>
      </c>
      <c r="L27" s="41">
        <v>46053.0</v>
      </c>
      <c r="M27" s="48" t="s">
        <v>60</v>
      </c>
      <c r="N27" s="2">
        <v>2615.0</v>
      </c>
      <c r="O27" s="36" t="s">
        <v>155</v>
      </c>
      <c r="P27" s="37">
        <v>46079.0</v>
      </c>
      <c r="Q27" s="38"/>
      <c r="R27" s="38"/>
      <c r="S27" s="38"/>
      <c r="T27" s="38"/>
      <c r="U27" s="38"/>
      <c r="V27" s="38"/>
    </row>
    <row r="28">
      <c r="A28" s="23">
        <v>45897.0</v>
      </c>
      <c r="B28" s="25">
        <v>2.093501849E9</v>
      </c>
      <c r="C28" s="27" t="s">
        <v>148</v>
      </c>
      <c r="D28" s="28" t="s">
        <v>4</v>
      </c>
      <c r="E28" s="27">
        <v>1.0</v>
      </c>
      <c r="F28" s="27"/>
      <c r="G28" s="27" t="s">
        <v>35</v>
      </c>
      <c r="H28" s="28">
        <v>6834.0</v>
      </c>
      <c r="I28" s="30" t="str">
        <f t="shared" si="1"/>
        <v>6834-GSB-N/A</v>
      </c>
      <c r="J28" s="31" t="s">
        <v>151</v>
      </c>
      <c r="K28" s="27" t="s">
        <v>152</v>
      </c>
      <c r="L28" s="41">
        <v>46053.0</v>
      </c>
      <c r="M28" s="48" t="s">
        <v>60</v>
      </c>
      <c r="N28" s="2">
        <v>2614.0</v>
      </c>
      <c r="O28" s="36" t="s">
        <v>159</v>
      </c>
      <c r="P28" s="37">
        <v>46077.0</v>
      </c>
      <c r="Q28" s="38"/>
      <c r="R28" s="38"/>
      <c r="S28" s="38"/>
      <c r="T28" s="38"/>
      <c r="U28" s="38"/>
      <c r="V28" s="38"/>
    </row>
    <row r="29">
      <c r="A29" s="23">
        <v>45897.0</v>
      </c>
      <c r="B29" s="25">
        <v>2.093501849E9</v>
      </c>
      <c r="C29" s="27" t="s">
        <v>40</v>
      </c>
      <c r="D29" s="28" t="s">
        <v>8</v>
      </c>
      <c r="E29" s="27">
        <v>1.0</v>
      </c>
      <c r="F29" s="27"/>
      <c r="G29" s="27" t="s">
        <v>163</v>
      </c>
      <c r="H29" s="28">
        <v>6762.0</v>
      </c>
      <c r="I29" s="30" t="str">
        <f t="shared" si="1"/>
        <v>6762-GSB-042257953910020080</v>
      </c>
      <c r="J29" s="31" t="s">
        <v>151</v>
      </c>
      <c r="K29" s="27" t="s">
        <v>55</v>
      </c>
      <c r="L29" s="41" t="s">
        <v>146</v>
      </c>
      <c r="M29" s="48" t="s">
        <v>60</v>
      </c>
      <c r="N29" s="2">
        <v>2726.0</v>
      </c>
      <c r="O29" s="36" t="s">
        <v>165</v>
      </c>
      <c r="P29" s="37">
        <v>46072.0</v>
      </c>
      <c r="Q29" s="38"/>
      <c r="R29" s="38"/>
      <c r="S29" s="38"/>
      <c r="T29" s="38"/>
      <c r="U29" s="38"/>
      <c r="V29" s="38"/>
    </row>
    <row r="30">
      <c r="A30" s="23">
        <v>45897.0</v>
      </c>
      <c r="B30" s="25">
        <v>2.093501849E9</v>
      </c>
      <c r="C30" s="27" t="s">
        <v>40</v>
      </c>
      <c r="D30" s="28" t="s">
        <v>8</v>
      </c>
      <c r="E30" s="27">
        <v>1.0</v>
      </c>
      <c r="F30" s="27"/>
      <c r="G30" s="27" t="s">
        <v>167</v>
      </c>
      <c r="H30" s="28">
        <v>6756.0</v>
      </c>
      <c r="I30" s="30" t="str">
        <f t="shared" si="1"/>
        <v>6756-GSB-042257953910020083</v>
      </c>
      <c r="J30" s="31" t="s">
        <v>151</v>
      </c>
      <c r="K30" s="27" t="s">
        <v>55</v>
      </c>
      <c r="L30" s="41" t="s">
        <v>146</v>
      </c>
      <c r="M30" s="48" t="s">
        <v>60</v>
      </c>
      <c r="N30" s="2">
        <v>2726.0</v>
      </c>
      <c r="O30" s="36" t="s">
        <v>165</v>
      </c>
      <c r="P30" s="37">
        <v>46072.0</v>
      </c>
      <c r="Q30" s="38"/>
      <c r="R30" s="38"/>
      <c r="S30" s="38"/>
      <c r="T30" s="38"/>
      <c r="U30" s="38"/>
      <c r="V30" s="38"/>
    </row>
    <row r="31">
      <c r="A31" s="23">
        <v>45897.0</v>
      </c>
      <c r="B31" s="25">
        <v>2.093501849E9</v>
      </c>
      <c r="C31" s="27" t="s">
        <v>168</v>
      </c>
      <c r="D31" s="28" t="s">
        <v>6</v>
      </c>
      <c r="E31" s="27">
        <v>1.0</v>
      </c>
      <c r="F31" s="27"/>
      <c r="G31" s="27" t="s">
        <v>169</v>
      </c>
      <c r="H31" s="28">
        <v>1648.0</v>
      </c>
      <c r="I31" s="30" t="str">
        <f t="shared" si="1"/>
        <v>1648-GSB-042247244018010037</v>
      </c>
      <c r="J31" s="31" t="s">
        <v>171</v>
      </c>
      <c r="K31" s="27" t="s">
        <v>55</v>
      </c>
      <c r="L31" s="41">
        <v>46056.0</v>
      </c>
      <c r="M31" s="48" t="s">
        <v>104</v>
      </c>
      <c r="N31" s="2">
        <v>32796.0</v>
      </c>
      <c r="O31" s="57" t="s">
        <v>172</v>
      </c>
      <c r="P31" s="58">
        <v>46058.0</v>
      </c>
      <c r="Q31" s="38"/>
      <c r="R31" s="38"/>
      <c r="S31" s="38"/>
      <c r="T31" s="38"/>
      <c r="U31" s="38"/>
      <c r="V31" s="38"/>
    </row>
    <row r="32">
      <c r="A32" s="23">
        <v>45897.0</v>
      </c>
      <c r="B32" s="25">
        <v>2.093501849E9</v>
      </c>
      <c r="C32" s="27">
        <v>4.998117557E9</v>
      </c>
      <c r="D32" s="28" t="s">
        <v>5</v>
      </c>
      <c r="E32" s="27">
        <v>1.0</v>
      </c>
      <c r="F32" s="27"/>
      <c r="G32" s="27" t="s">
        <v>174</v>
      </c>
      <c r="H32" s="28">
        <v>5993.0</v>
      </c>
      <c r="I32" s="30" t="str">
        <f t="shared" si="1"/>
        <v>5993-GSB-092256847892120284</v>
      </c>
      <c r="J32" s="31" t="s">
        <v>175</v>
      </c>
      <c r="K32" s="27" t="s">
        <v>145</v>
      </c>
      <c r="L32" s="41">
        <v>46057.0</v>
      </c>
      <c r="M32" s="48" t="s">
        <v>104</v>
      </c>
      <c r="N32" s="2"/>
      <c r="O32" s="36" t="s">
        <v>175</v>
      </c>
      <c r="P32" s="37">
        <v>46086.0</v>
      </c>
      <c r="Q32" s="38"/>
      <c r="R32" s="38"/>
      <c r="S32" s="38"/>
      <c r="T32" s="38"/>
      <c r="U32" s="38"/>
      <c r="V32" s="38"/>
    </row>
    <row r="33">
      <c r="A33" s="23">
        <v>45897.0</v>
      </c>
      <c r="B33" s="25">
        <v>2.093501849E9</v>
      </c>
      <c r="C33" s="27">
        <v>4.998117557E9</v>
      </c>
      <c r="D33" s="28" t="s">
        <v>5</v>
      </c>
      <c r="E33" s="27">
        <v>1.0</v>
      </c>
      <c r="F33" s="27"/>
      <c r="G33" s="27" t="s">
        <v>177</v>
      </c>
      <c r="H33" s="28">
        <v>5995.0</v>
      </c>
      <c r="I33" s="30" t="str">
        <f t="shared" si="1"/>
        <v>5995-GSB-092256847892120305</v>
      </c>
      <c r="J33" s="31" t="s">
        <v>175</v>
      </c>
      <c r="K33" s="27" t="s">
        <v>145</v>
      </c>
      <c r="L33" s="41">
        <v>46057.0</v>
      </c>
      <c r="M33" s="48" t="s">
        <v>104</v>
      </c>
      <c r="N33" s="2"/>
      <c r="O33" s="36" t="s">
        <v>175</v>
      </c>
      <c r="P33" s="37">
        <v>46086.0</v>
      </c>
      <c r="Q33" s="38"/>
      <c r="R33" s="38"/>
      <c r="S33" s="38"/>
      <c r="T33" s="38"/>
      <c r="U33" s="38"/>
      <c r="V33" s="38"/>
    </row>
    <row r="34">
      <c r="A34" s="23">
        <v>45897.0</v>
      </c>
      <c r="B34" s="25">
        <v>2.093501849E9</v>
      </c>
      <c r="C34" s="27">
        <v>4.998117557E9</v>
      </c>
      <c r="D34" s="28" t="s">
        <v>5</v>
      </c>
      <c r="E34" s="27">
        <v>1.0</v>
      </c>
      <c r="F34" s="27"/>
      <c r="G34" s="27" t="s">
        <v>179</v>
      </c>
      <c r="H34" s="28">
        <v>5998.0</v>
      </c>
      <c r="I34" s="30" t="str">
        <f t="shared" si="1"/>
        <v>5998-GSB-092256847892120298</v>
      </c>
      <c r="J34" s="31" t="s">
        <v>175</v>
      </c>
      <c r="K34" s="27" t="s">
        <v>145</v>
      </c>
      <c r="L34" s="41">
        <v>46057.0</v>
      </c>
      <c r="M34" s="48" t="s">
        <v>104</v>
      </c>
      <c r="N34" s="2"/>
      <c r="O34" s="36" t="s">
        <v>175</v>
      </c>
      <c r="P34" s="37">
        <v>46086.0</v>
      </c>
      <c r="Q34" s="38"/>
      <c r="R34" s="38"/>
      <c r="S34" s="38"/>
      <c r="T34" s="38"/>
      <c r="U34" s="38"/>
      <c r="V34" s="38"/>
    </row>
    <row r="35">
      <c r="A35" s="23">
        <v>45897.0</v>
      </c>
      <c r="B35" s="25">
        <v>2.093501849E9</v>
      </c>
      <c r="C35" s="27">
        <v>4.998117557E9</v>
      </c>
      <c r="D35" s="28" t="s">
        <v>5</v>
      </c>
      <c r="E35" s="27">
        <v>1.0</v>
      </c>
      <c r="F35" s="27"/>
      <c r="G35" s="27" t="s">
        <v>181</v>
      </c>
      <c r="H35" s="28">
        <v>5721.0</v>
      </c>
      <c r="I35" s="30" t="str">
        <f t="shared" si="1"/>
        <v>5721-GSB-092256847706150192</v>
      </c>
      <c r="J35" s="31" t="s">
        <v>175</v>
      </c>
      <c r="K35" s="27" t="s">
        <v>145</v>
      </c>
      <c r="L35" s="41">
        <v>46057.0</v>
      </c>
      <c r="M35" s="48" t="s">
        <v>104</v>
      </c>
      <c r="N35" s="2"/>
      <c r="O35" s="36" t="s">
        <v>175</v>
      </c>
      <c r="P35" s="37">
        <v>46086.0</v>
      </c>
      <c r="Q35" s="38"/>
      <c r="R35" s="38"/>
      <c r="S35" s="38"/>
      <c r="T35" s="38"/>
      <c r="U35" s="38"/>
      <c r="V35" s="38"/>
    </row>
    <row r="36">
      <c r="A36" s="23">
        <v>45897.0</v>
      </c>
      <c r="B36" s="25">
        <v>2.093501849E9</v>
      </c>
      <c r="C36" s="27">
        <v>4.998117557E9</v>
      </c>
      <c r="D36" s="28" t="s">
        <v>5</v>
      </c>
      <c r="E36" s="27">
        <v>1.0</v>
      </c>
      <c r="F36" s="27"/>
      <c r="G36" s="27" t="s">
        <v>183</v>
      </c>
      <c r="H36" s="28">
        <v>5039.0</v>
      </c>
      <c r="I36" s="30" t="str">
        <f t="shared" si="1"/>
        <v>5039-GSB-092256847591000858</v>
      </c>
      <c r="J36" s="31" t="s">
        <v>175</v>
      </c>
      <c r="K36" s="27" t="s">
        <v>145</v>
      </c>
      <c r="L36" s="41">
        <v>46057.0</v>
      </c>
      <c r="M36" s="48" t="s">
        <v>104</v>
      </c>
      <c r="N36" s="2"/>
      <c r="O36" s="36" t="s">
        <v>175</v>
      </c>
      <c r="P36" s="37">
        <v>46086.0</v>
      </c>
      <c r="Q36" s="38"/>
      <c r="R36" s="38"/>
      <c r="S36" s="38"/>
      <c r="T36" s="38"/>
      <c r="U36" s="38"/>
      <c r="V36" s="38"/>
    </row>
    <row r="37">
      <c r="A37" s="23">
        <v>45897.0</v>
      </c>
      <c r="B37" s="25">
        <v>2.093501849E9</v>
      </c>
      <c r="C37" s="27">
        <v>4.998117557E9</v>
      </c>
      <c r="D37" s="28" t="s">
        <v>5</v>
      </c>
      <c r="E37" s="27">
        <v>1.0</v>
      </c>
      <c r="F37" s="27"/>
      <c r="G37" s="27" t="s">
        <v>185</v>
      </c>
      <c r="H37" s="28">
        <v>6000.0</v>
      </c>
      <c r="I37" s="30" t="str">
        <f t="shared" si="1"/>
        <v>6000-GSB-092256847892120288</v>
      </c>
      <c r="J37" s="31" t="s">
        <v>175</v>
      </c>
      <c r="K37" s="27" t="s">
        <v>145</v>
      </c>
      <c r="L37" s="41">
        <v>46057.0</v>
      </c>
      <c r="M37" s="48" t="s">
        <v>104</v>
      </c>
      <c r="N37" s="2"/>
      <c r="O37" s="36" t="s">
        <v>186</v>
      </c>
      <c r="P37" s="37">
        <v>46081.0</v>
      </c>
      <c r="Q37" s="38"/>
      <c r="R37" s="38"/>
      <c r="S37" s="38"/>
      <c r="T37" s="38"/>
      <c r="U37" s="38"/>
      <c r="V37" s="38"/>
    </row>
    <row r="38">
      <c r="A38" s="23">
        <v>46048.0</v>
      </c>
      <c r="B38" s="25" t="s">
        <v>94</v>
      </c>
      <c r="C38" s="27" t="s">
        <v>188</v>
      </c>
      <c r="D38" s="28" t="s">
        <v>189</v>
      </c>
      <c r="E38" s="27">
        <v>1.0</v>
      </c>
      <c r="F38" s="27"/>
      <c r="G38" s="27" t="s">
        <v>190</v>
      </c>
      <c r="H38" s="28">
        <v>9076.0</v>
      </c>
      <c r="I38" s="30" t="str">
        <f t="shared" si="1"/>
        <v>9076-GSB-042174644023100004</v>
      </c>
      <c r="J38" s="31" t="s">
        <v>175</v>
      </c>
      <c r="K38" s="27" t="s">
        <v>145</v>
      </c>
      <c r="L38" s="41">
        <v>46057.0</v>
      </c>
      <c r="M38" s="48" t="s">
        <v>104</v>
      </c>
      <c r="N38" s="2"/>
      <c r="O38" s="36" t="s">
        <v>175</v>
      </c>
      <c r="P38" s="37">
        <v>46086.0</v>
      </c>
      <c r="Q38" s="38"/>
      <c r="R38" s="38"/>
      <c r="S38" s="38"/>
      <c r="T38" s="38"/>
      <c r="U38" s="38"/>
      <c r="V38" s="38"/>
    </row>
    <row r="39">
      <c r="A39" s="23">
        <v>46048.0</v>
      </c>
      <c r="B39" s="25" t="s">
        <v>94</v>
      </c>
      <c r="C39" s="27" t="s">
        <v>188</v>
      </c>
      <c r="D39" s="28" t="s">
        <v>189</v>
      </c>
      <c r="E39" s="27">
        <v>1.0</v>
      </c>
      <c r="F39" s="27"/>
      <c r="G39" s="27" t="s">
        <v>192</v>
      </c>
      <c r="H39" s="28">
        <v>6018.0</v>
      </c>
      <c r="I39" s="30" t="str">
        <f t="shared" si="1"/>
        <v>6018-GSB-042174653720100086</v>
      </c>
      <c r="J39" s="31" t="s">
        <v>175</v>
      </c>
      <c r="K39" s="27" t="s">
        <v>145</v>
      </c>
      <c r="L39" s="41">
        <v>46057.0</v>
      </c>
      <c r="M39" s="48" t="s">
        <v>104</v>
      </c>
      <c r="N39" s="2"/>
      <c r="O39" s="36" t="s">
        <v>175</v>
      </c>
      <c r="P39" s="37">
        <v>46086.0</v>
      </c>
      <c r="Q39" s="38"/>
      <c r="R39" s="38"/>
      <c r="S39" s="38"/>
      <c r="T39" s="38"/>
      <c r="U39" s="38"/>
      <c r="V39" s="38"/>
    </row>
    <row r="40">
      <c r="A40" s="23">
        <v>45897.0</v>
      </c>
      <c r="B40" s="25">
        <v>2.093501849E9</v>
      </c>
      <c r="C40" s="27">
        <v>4.998117557E9</v>
      </c>
      <c r="D40" s="28" t="s">
        <v>5</v>
      </c>
      <c r="E40" s="27">
        <v>1.0</v>
      </c>
      <c r="F40" s="27"/>
      <c r="G40" s="27" t="s">
        <v>197</v>
      </c>
      <c r="H40" s="28">
        <v>5900.0</v>
      </c>
      <c r="I40" s="30" t="str">
        <f t="shared" si="1"/>
        <v>5900-GSB-092256847892120303</v>
      </c>
      <c r="J40" s="31" t="s">
        <v>186</v>
      </c>
      <c r="K40" s="27" t="s">
        <v>145</v>
      </c>
      <c r="L40" s="41">
        <v>46058.0</v>
      </c>
      <c r="M40" s="48" t="s">
        <v>104</v>
      </c>
      <c r="N40" s="2"/>
      <c r="O40" s="36" t="s">
        <v>186</v>
      </c>
      <c r="P40" s="37">
        <v>46081.0</v>
      </c>
      <c r="Q40" s="38"/>
      <c r="R40" s="38"/>
      <c r="S40" s="38"/>
      <c r="T40" s="38"/>
      <c r="U40" s="38"/>
      <c r="V40" s="38"/>
    </row>
    <row r="41">
      <c r="A41" s="23">
        <v>45897.0</v>
      </c>
      <c r="B41" s="25">
        <v>2.093501849E9</v>
      </c>
      <c r="C41" s="27">
        <v>4.998117557E9</v>
      </c>
      <c r="D41" s="28" t="s">
        <v>5</v>
      </c>
      <c r="E41" s="27">
        <v>1.0</v>
      </c>
      <c r="F41" s="27"/>
      <c r="G41" s="27" t="s">
        <v>201</v>
      </c>
      <c r="H41" s="28">
        <v>5041.0</v>
      </c>
      <c r="I41" s="30" t="str">
        <f t="shared" si="1"/>
        <v>5041-GSB-092256847591000857</v>
      </c>
      <c r="J41" s="31" t="s">
        <v>186</v>
      </c>
      <c r="K41" s="27" t="s">
        <v>145</v>
      </c>
      <c r="L41" s="41">
        <v>46058.0</v>
      </c>
      <c r="M41" s="48" t="s">
        <v>104</v>
      </c>
      <c r="N41" s="2"/>
      <c r="O41" s="36" t="s">
        <v>186</v>
      </c>
      <c r="P41" s="37">
        <v>46081.0</v>
      </c>
      <c r="Q41" s="38"/>
      <c r="R41" s="38"/>
      <c r="S41" s="38"/>
      <c r="T41" s="38"/>
      <c r="U41" s="38"/>
      <c r="V41" s="38"/>
    </row>
    <row r="42">
      <c r="A42" s="23">
        <v>45897.0</v>
      </c>
      <c r="B42" s="25">
        <v>2.093501849E9</v>
      </c>
      <c r="C42" s="27">
        <v>4.998117557E9</v>
      </c>
      <c r="D42" s="28" t="s">
        <v>5</v>
      </c>
      <c r="E42" s="27">
        <v>1.0</v>
      </c>
      <c r="F42" s="27"/>
      <c r="G42" s="27" t="s">
        <v>205</v>
      </c>
      <c r="H42" s="28">
        <v>5881.0</v>
      </c>
      <c r="I42" s="30" t="str">
        <f t="shared" si="1"/>
        <v>5881-GSB-092256847892120444</v>
      </c>
      <c r="J42" s="31" t="s">
        <v>186</v>
      </c>
      <c r="K42" s="27" t="s">
        <v>145</v>
      </c>
      <c r="L42" s="41">
        <v>46058.0</v>
      </c>
      <c r="M42" s="48" t="s">
        <v>104</v>
      </c>
      <c r="N42" s="2"/>
      <c r="O42" s="36" t="s">
        <v>186</v>
      </c>
      <c r="P42" s="37">
        <v>46081.0</v>
      </c>
      <c r="Q42" s="38"/>
      <c r="R42" s="38"/>
      <c r="S42" s="38"/>
      <c r="T42" s="38"/>
      <c r="U42" s="38"/>
      <c r="V42" s="38"/>
    </row>
    <row r="43">
      <c r="A43" s="23">
        <v>45897.0</v>
      </c>
      <c r="B43" s="25">
        <v>2.093501849E9</v>
      </c>
      <c r="C43" s="27">
        <v>4.998117557E9</v>
      </c>
      <c r="D43" s="28" t="s">
        <v>5</v>
      </c>
      <c r="E43" s="27">
        <v>1.0</v>
      </c>
      <c r="F43" s="27"/>
      <c r="G43" s="27" t="s">
        <v>207</v>
      </c>
      <c r="H43" s="28">
        <v>4872.0</v>
      </c>
      <c r="I43" s="30" t="str">
        <f t="shared" si="1"/>
        <v>4872-GSB-092256847517520241</v>
      </c>
      <c r="J43" s="31" t="s">
        <v>186</v>
      </c>
      <c r="K43" s="27" t="s">
        <v>145</v>
      </c>
      <c r="L43" s="41">
        <v>46058.0</v>
      </c>
      <c r="M43" s="48" t="s">
        <v>104</v>
      </c>
      <c r="N43" s="2"/>
      <c r="O43" s="36" t="s">
        <v>186</v>
      </c>
      <c r="P43" s="37">
        <v>46081.0</v>
      </c>
      <c r="Q43" s="38"/>
      <c r="R43" s="38"/>
      <c r="S43" s="38"/>
      <c r="T43" s="38"/>
      <c r="U43" s="38"/>
      <c r="V43" s="38"/>
    </row>
    <row r="44">
      <c r="A44" s="23">
        <v>45897.0</v>
      </c>
      <c r="B44" s="25">
        <v>2.093501849E9</v>
      </c>
      <c r="C44" s="27">
        <v>4.998117557E9</v>
      </c>
      <c r="D44" s="28" t="s">
        <v>5</v>
      </c>
      <c r="E44" s="27">
        <v>1.0</v>
      </c>
      <c r="F44" s="27"/>
      <c r="G44" s="27" t="s">
        <v>209</v>
      </c>
      <c r="H44" s="28">
        <v>5725.0</v>
      </c>
      <c r="I44" s="30" t="str">
        <f t="shared" si="1"/>
        <v>5725-GSB-092256847706150196</v>
      </c>
      <c r="J44" s="31" t="s">
        <v>186</v>
      </c>
      <c r="K44" s="27" t="s">
        <v>145</v>
      </c>
      <c r="L44" s="41">
        <v>46058.0</v>
      </c>
      <c r="M44" s="48" t="s">
        <v>104</v>
      </c>
      <c r="N44" s="2"/>
      <c r="O44" s="36" t="s">
        <v>186</v>
      </c>
      <c r="P44" s="37">
        <v>46081.0</v>
      </c>
      <c r="Q44" s="38"/>
      <c r="R44" s="38"/>
      <c r="S44" s="38"/>
      <c r="T44" s="38"/>
      <c r="U44" s="38"/>
      <c r="V44" s="38"/>
    </row>
    <row r="45">
      <c r="A45" s="23">
        <v>45897.0</v>
      </c>
      <c r="B45" s="25">
        <v>2.093501849E9</v>
      </c>
      <c r="C45" s="27">
        <v>4.998117557E9</v>
      </c>
      <c r="D45" s="28" t="s">
        <v>5</v>
      </c>
      <c r="E45" s="27">
        <v>1.0</v>
      </c>
      <c r="F45" s="27"/>
      <c r="G45" s="27" t="s">
        <v>211</v>
      </c>
      <c r="H45" s="28">
        <v>6007.0</v>
      </c>
      <c r="I45" s="30" t="str">
        <f t="shared" si="1"/>
        <v>6007-GSB-092256847892120301</v>
      </c>
      <c r="J45" s="31" t="s">
        <v>186</v>
      </c>
      <c r="K45" s="27" t="s">
        <v>145</v>
      </c>
      <c r="L45" s="41">
        <v>46058.0</v>
      </c>
      <c r="M45" s="48" t="s">
        <v>104</v>
      </c>
      <c r="N45" s="2"/>
      <c r="O45" s="36" t="s">
        <v>186</v>
      </c>
      <c r="P45" s="37">
        <v>46081.0</v>
      </c>
      <c r="Q45" s="38"/>
      <c r="R45" s="38"/>
      <c r="S45" s="38"/>
      <c r="T45" s="38"/>
      <c r="U45" s="38"/>
      <c r="V45" s="38"/>
    </row>
    <row r="46">
      <c r="A46" s="23">
        <v>45897.0</v>
      </c>
      <c r="B46" s="25">
        <v>2.093501849E9</v>
      </c>
      <c r="C46" s="27">
        <v>4.998117557E9</v>
      </c>
      <c r="D46" s="28" t="s">
        <v>5</v>
      </c>
      <c r="E46" s="27">
        <v>1.0</v>
      </c>
      <c r="F46" s="27"/>
      <c r="G46" s="27" t="s">
        <v>214</v>
      </c>
      <c r="H46" s="28">
        <v>5908.0</v>
      </c>
      <c r="I46" s="30" t="str">
        <f t="shared" si="1"/>
        <v>5908-GSB-092256847892120459</v>
      </c>
      <c r="J46" s="31" t="s">
        <v>186</v>
      </c>
      <c r="K46" s="27" t="s">
        <v>145</v>
      </c>
      <c r="L46" s="41">
        <v>46058.0</v>
      </c>
      <c r="M46" s="48" t="s">
        <v>104</v>
      </c>
      <c r="N46" s="2"/>
      <c r="O46" s="36" t="s">
        <v>186</v>
      </c>
      <c r="P46" s="37">
        <v>46081.0</v>
      </c>
      <c r="Q46" s="38"/>
      <c r="R46" s="38"/>
      <c r="S46" s="38"/>
      <c r="T46" s="38"/>
      <c r="U46" s="38"/>
      <c r="V46" s="38"/>
    </row>
    <row r="47">
      <c r="A47" s="23">
        <v>45897.0</v>
      </c>
      <c r="B47" s="25">
        <v>2.093501849E9</v>
      </c>
      <c r="C47" s="27">
        <v>4.998117557E9</v>
      </c>
      <c r="D47" s="28" t="s">
        <v>5</v>
      </c>
      <c r="E47" s="27">
        <v>1.0</v>
      </c>
      <c r="F47" s="27"/>
      <c r="G47" s="27" t="s">
        <v>216</v>
      </c>
      <c r="H47" s="28">
        <v>5049.0</v>
      </c>
      <c r="I47" s="30" t="str">
        <f t="shared" si="1"/>
        <v>5049-GSB-092256847591000746</v>
      </c>
      <c r="J47" s="31" t="s">
        <v>186</v>
      </c>
      <c r="K47" s="27" t="s">
        <v>145</v>
      </c>
      <c r="L47" s="41">
        <v>46058.0</v>
      </c>
      <c r="M47" s="48" t="s">
        <v>104</v>
      </c>
      <c r="N47" s="2"/>
      <c r="O47" s="36" t="s">
        <v>186</v>
      </c>
      <c r="P47" s="37">
        <v>46081.0</v>
      </c>
      <c r="Q47" s="38"/>
      <c r="R47" s="38"/>
      <c r="S47" s="38"/>
      <c r="T47" s="38"/>
      <c r="U47" s="38"/>
      <c r="V47" s="38"/>
    </row>
    <row r="48">
      <c r="A48" s="23">
        <v>45897.0</v>
      </c>
      <c r="B48" s="25">
        <v>2.093501849E9</v>
      </c>
      <c r="C48" s="27">
        <v>4.998117557E9</v>
      </c>
      <c r="D48" s="28" t="s">
        <v>5</v>
      </c>
      <c r="E48" s="27">
        <v>1.0</v>
      </c>
      <c r="F48" s="27"/>
      <c r="G48" s="27" t="s">
        <v>218</v>
      </c>
      <c r="H48" s="28">
        <v>5899.0</v>
      </c>
      <c r="I48" s="30" t="str">
        <f t="shared" si="1"/>
        <v>5899-GSB-092256847892120304</v>
      </c>
      <c r="J48" s="31" t="s">
        <v>186</v>
      </c>
      <c r="K48" s="27" t="s">
        <v>145</v>
      </c>
      <c r="L48" s="41">
        <v>46058.0</v>
      </c>
      <c r="M48" s="48" t="s">
        <v>104</v>
      </c>
      <c r="N48" s="2"/>
      <c r="O48" s="36" t="s">
        <v>186</v>
      </c>
      <c r="P48" s="37">
        <v>46081.0</v>
      </c>
      <c r="Q48" s="38"/>
      <c r="R48" s="38"/>
      <c r="S48" s="38"/>
      <c r="T48" s="38"/>
      <c r="U48" s="38"/>
      <c r="V48" s="38"/>
    </row>
    <row r="49">
      <c r="A49" s="23">
        <v>45897.0</v>
      </c>
      <c r="B49" s="25">
        <v>2.093501849E9</v>
      </c>
      <c r="C49" s="27">
        <v>4.998117557E9</v>
      </c>
      <c r="D49" s="28" t="s">
        <v>5</v>
      </c>
      <c r="E49" s="27">
        <v>1.0</v>
      </c>
      <c r="F49" s="27"/>
      <c r="G49" s="27" t="s">
        <v>220</v>
      </c>
      <c r="H49" s="28">
        <v>5638.0</v>
      </c>
      <c r="I49" s="30" t="str">
        <f t="shared" si="1"/>
        <v>5638-GSB-092256847888940013</v>
      </c>
      <c r="J49" s="31" t="s">
        <v>186</v>
      </c>
      <c r="K49" s="27" t="s">
        <v>145</v>
      </c>
      <c r="L49" s="41">
        <v>46058.0</v>
      </c>
      <c r="M49" s="48" t="s">
        <v>104</v>
      </c>
      <c r="N49" s="2"/>
      <c r="O49" s="36" t="s">
        <v>186</v>
      </c>
      <c r="P49" s="37">
        <v>46081.0</v>
      </c>
      <c r="Q49" s="38"/>
      <c r="R49" s="38"/>
      <c r="S49" s="38"/>
      <c r="T49" s="38"/>
      <c r="U49" s="38"/>
      <c r="V49" s="38"/>
    </row>
    <row r="50">
      <c r="A50" s="23">
        <v>45897.0</v>
      </c>
      <c r="B50" s="25">
        <v>2.093501849E9</v>
      </c>
      <c r="C50" s="27">
        <v>4.998117557E9</v>
      </c>
      <c r="D50" s="28" t="s">
        <v>5</v>
      </c>
      <c r="E50" s="27">
        <v>1.0</v>
      </c>
      <c r="F50" s="27"/>
      <c r="G50" s="27" t="s">
        <v>222</v>
      </c>
      <c r="H50" s="28">
        <v>5897.0</v>
      </c>
      <c r="I50" s="30" t="str">
        <f t="shared" si="1"/>
        <v>5897-GSB-092256847892120295</v>
      </c>
      <c r="J50" s="31" t="s">
        <v>186</v>
      </c>
      <c r="K50" s="27" t="s">
        <v>145</v>
      </c>
      <c r="L50" s="41">
        <v>46058.0</v>
      </c>
      <c r="M50" s="48" t="s">
        <v>104</v>
      </c>
      <c r="N50" s="2"/>
      <c r="O50" s="36" t="s">
        <v>186</v>
      </c>
      <c r="P50" s="37">
        <v>46081.0</v>
      </c>
      <c r="Q50" s="38"/>
      <c r="R50" s="38"/>
      <c r="S50" s="38"/>
      <c r="T50" s="38"/>
      <c r="U50" s="38"/>
      <c r="V50" s="38"/>
    </row>
    <row r="51">
      <c r="A51" s="23">
        <v>45897.0</v>
      </c>
      <c r="B51" s="25">
        <v>2.093501849E9</v>
      </c>
      <c r="C51" s="27">
        <v>4.998117557E9</v>
      </c>
      <c r="D51" s="28" t="s">
        <v>5</v>
      </c>
      <c r="E51" s="27">
        <v>1.0</v>
      </c>
      <c r="F51" s="27"/>
      <c r="G51" s="27" t="s">
        <v>224</v>
      </c>
      <c r="H51" s="28">
        <v>5714.0</v>
      </c>
      <c r="I51" s="30" t="str">
        <f t="shared" si="1"/>
        <v>5714-GSB-092256847706150185</v>
      </c>
      <c r="J51" s="31" t="s">
        <v>186</v>
      </c>
      <c r="K51" s="27" t="s">
        <v>145</v>
      </c>
      <c r="L51" s="41">
        <v>46058.0</v>
      </c>
      <c r="M51" s="48" t="s">
        <v>104</v>
      </c>
      <c r="N51" s="2"/>
      <c r="O51" s="36" t="s">
        <v>186</v>
      </c>
      <c r="P51" s="37">
        <v>46081.0</v>
      </c>
      <c r="Q51" s="38"/>
      <c r="R51" s="38"/>
      <c r="S51" s="38"/>
      <c r="T51" s="38"/>
      <c r="U51" s="38"/>
      <c r="V51" s="38"/>
    </row>
    <row r="52">
      <c r="A52" s="23">
        <v>45897.0</v>
      </c>
      <c r="B52" s="25">
        <v>2.093501849E9</v>
      </c>
      <c r="C52" s="27" t="s">
        <v>168</v>
      </c>
      <c r="D52" s="28" t="s">
        <v>6</v>
      </c>
      <c r="E52" s="27">
        <v>1.0</v>
      </c>
      <c r="F52" s="27"/>
      <c r="G52" s="27" t="s">
        <v>227</v>
      </c>
      <c r="H52" s="28">
        <v>1640.0</v>
      </c>
      <c r="I52" s="30" t="str">
        <f t="shared" si="1"/>
        <v>1640-GSB-042247244018010011</v>
      </c>
      <c r="J52" s="31" t="s">
        <v>186</v>
      </c>
      <c r="K52" s="27" t="s">
        <v>145</v>
      </c>
      <c r="L52" s="41">
        <v>46058.0</v>
      </c>
      <c r="M52" s="48" t="s">
        <v>104</v>
      </c>
      <c r="N52" s="2"/>
      <c r="O52" s="36" t="s">
        <v>186</v>
      </c>
      <c r="P52" s="37">
        <v>46081.0</v>
      </c>
      <c r="Q52" s="38"/>
      <c r="R52" s="38"/>
      <c r="S52" s="38"/>
      <c r="T52" s="38"/>
      <c r="U52" s="38"/>
      <c r="V52" s="38"/>
    </row>
    <row r="53">
      <c r="A53" s="23">
        <v>45897.0</v>
      </c>
      <c r="B53" s="25">
        <v>2.093501849E9</v>
      </c>
      <c r="C53" s="27" t="s">
        <v>40</v>
      </c>
      <c r="D53" s="28" t="s">
        <v>8</v>
      </c>
      <c r="E53" s="27">
        <v>1.0</v>
      </c>
      <c r="F53" s="27"/>
      <c r="G53" s="27" t="s">
        <v>229</v>
      </c>
      <c r="H53" s="28">
        <v>6766.0</v>
      </c>
      <c r="I53" s="30" t="str">
        <f t="shared" si="1"/>
        <v>6766-GSB-042257953720020162</v>
      </c>
      <c r="J53" s="31" t="s">
        <v>186</v>
      </c>
      <c r="K53" s="27" t="s">
        <v>145</v>
      </c>
      <c r="L53" s="41">
        <v>46058.0</v>
      </c>
      <c r="M53" s="48" t="s">
        <v>104</v>
      </c>
      <c r="N53" s="2"/>
      <c r="O53" s="36" t="s">
        <v>186</v>
      </c>
      <c r="P53" s="37">
        <v>46081.0</v>
      </c>
      <c r="Q53" s="38"/>
      <c r="R53" s="38"/>
      <c r="S53" s="38"/>
      <c r="T53" s="38"/>
      <c r="U53" s="38"/>
      <c r="V53" s="38"/>
    </row>
    <row r="54">
      <c r="A54" s="23">
        <v>45897.0</v>
      </c>
      <c r="B54" s="25">
        <v>2.093501849E9</v>
      </c>
      <c r="C54" s="27" t="s">
        <v>40</v>
      </c>
      <c r="D54" s="28" t="s">
        <v>8</v>
      </c>
      <c r="E54" s="27">
        <v>1.0</v>
      </c>
      <c r="F54" s="27"/>
      <c r="G54" s="27" t="s">
        <v>231</v>
      </c>
      <c r="H54" s="28">
        <v>5960.0</v>
      </c>
      <c r="I54" s="30" t="str">
        <f t="shared" si="1"/>
        <v>5960-GSB-042257948004020006</v>
      </c>
      <c r="J54" s="31" t="s">
        <v>186</v>
      </c>
      <c r="K54" s="27" t="s">
        <v>145</v>
      </c>
      <c r="L54" s="41">
        <v>46058.0</v>
      </c>
      <c r="M54" s="48" t="s">
        <v>104</v>
      </c>
      <c r="N54" s="2"/>
      <c r="O54" s="36" t="s">
        <v>186</v>
      </c>
      <c r="P54" s="37">
        <v>46081.0</v>
      </c>
      <c r="Q54" s="38"/>
      <c r="R54" s="38"/>
      <c r="S54" s="38"/>
      <c r="T54" s="38"/>
      <c r="U54" s="38"/>
      <c r="V54" s="38"/>
    </row>
    <row r="55">
      <c r="A55" s="23">
        <v>45897.0</v>
      </c>
      <c r="B55" s="25">
        <v>2.093501849E9</v>
      </c>
      <c r="C55" s="27" t="s">
        <v>40</v>
      </c>
      <c r="D55" s="28" t="s">
        <v>8</v>
      </c>
      <c r="E55" s="27">
        <v>1.0</v>
      </c>
      <c r="F55" s="27"/>
      <c r="G55" s="27" t="s">
        <v>232</v>
      </c>
      <c r="H55" s="28">
        <v>6764.0</v>
      </c>
      <c r="I55" s="30" t="str">
        <f t="shared" si="1"/>
        <v>6764-GSB-042257953910020102</v>
      </c>
      <c r="J55" s="31" t="s">
        <v>186</v>
      </c>
      <c r="K55" s="27" t="s">
        <v>145</v>
      </c>
      <c r="L55" s="41">
        <v>46058.0</v>
      </c>
      <c r="M55" s="48" t="s">
        <v>104</v>
      </c>
      <c r="N55" s="2"/>
      <c r="O55" s="36" t="s">
        <v>175</v>
      </c>
      <c r="P55" s="37">
        <v>46086.0</v>
      </c>
      <c r="Q55" s="38"/>
      <c r="R55" s="38"/>
      <c r="S55" s="38"/>
      <c r="T55" s="38"/>
      <c r="U55" s="38"/>
      <c r="V55" s="38"/>
    </row>
    <row r="56">
      <c r="A56" s="23">
        <v>45897.0</v>
      </c>
      <c r="B56" s="27" t="s">
        <v>35</v>
      </c>
      <c r="C56" s="27" t="s">
        <v>143</v>
      </c>
      <c r="D56" s="28" t="s">
        <v>10</v>
      </c>
      <c r="E56" s="27">
        <v>1.0</v>
      </c>
      <c r="F56" s="27"/>
      <c r="G56" s="27">
        <v>3.102001082E9</v>
      </c>
      <c r="H56" s="28">
        <v>7015.0</v>
      </c>
      <c r="I56" s="30" t="str">
        <f t="shared" si="1"/>
        <v>7015-GSB-3102001082</v>
      </c>
      <c r="J56" s="31" t="s">
        <v>186</v>
      </c>
      <c r="K56" s="27" t="s">
        <v>145</v>
      </c>
      <c r="L56" s="41">
        <v>46058.0</v>
      </c>
      <c r="M56" s="48" t="s">
        <v>104</v>
      </c>
      <c r="N56" s="2"/>
      <c r="O56" s="36" t="s">
        <v>186</v>
      </c>
      <c r="P56" s="37">
        <v>46081.0</v>
      </c>
      <c r="Q56" s="38"/>
      <c r="R56" s="38"/>
      <c r="S56" s="38"/>
      <c r="T56" s="38"/>
      <c r="U56" s="38"/>
      <c r="V56" s="38"/>
    </row>
    <row r="57">
      <c r="A57" s="23">
        <v>45897.0</v>
      </c>
      <c r="B57" s="27" t="s">
        <v>35</v>
      </c>
      <c r="C57" s="27" t="s">
        <v>143</v>
      </c>
      <c r="D57" s="28" t="s">
        <v>10</v>
      </c>
      <c r="E57" s="27">
        <v>1.0</v>
      </c>
      <c r="F57" s="27"/>
      <c r="G57" s="27">
        <v>3.102001091E9</v>
      </c>
      <c r="H57" s="28">
        <v>7017.0</v>
      </c>
      <c r="I57" s="30" t="str">
        <f t="shared" si="1"/>
        <v>7017-GSB-3102001091</v>
      </c>
      <c r="J57" s="31" t="s">
        <v>186</v>
      </c>
      <c r="K57" s="27" t="s">
        <v>145</v>
      </c>
      <c r="L57" s="41">
        <v>46058.0</v>
      </c>
      <c r="M57" s="48" t="s">
        <v>104</v>
      </c>
      <c r="N57" s="2"/>
      <c r="O57" s="36" t="s">
        <v>186</v>
      </c>
      <c r="P57" s="37">
        <v>46081.0</v>
      </c>
      <c r="Q57" s="38"/>
      <c r="R57" s="38"/>
      <c r="S57" s="38"/>
      <c r="T57" s="38"/>
      <c r="U57" s="38"/>
      <c r="V57" s="38"/>
    </row>
    <row r="58">
      <c r="A58" s="23">
        <v>45897.0</v>
      </c>
      <c r="B58" s="27" t="s">
        <v>35</v>
      </c>
      <c r="C58" s="27" t="s">
        <v>143</v>
      </c>
      <c r="D58" s="28" t="s">
        <v>10</v>
      </c>
      <c r="E58" s="27">
        <v>1.0</v>
      </c>
      <c r="F58" s="27"/>
      <c r="G58" s="27">
        <v>3.102001574E9</v>
      </c>
      <c r="H58" s="28">
        <v>6588.0</v>
      </c>
      <c r="I58" s="30" t="str">
        <f t="shared" si="1"/>
        <v>6588-GSB-3102001574</v>
      </c>
      <c r="J58" s="31" t="s">
        <v>186</v>
      </c>
      <c r="K58" s="27" t="s">
        <v>145</v>
      </c>
      <c r="L58" s="41">
        <v>46058.0</v>
      </c>
      <c r="M58" s="48" t="s">
        <v>104</v>
      </c>
      <c r="N58" s="2"/>
      <c r="O58" s="36" t="s">
        <v>186</v>
      </c>
      <c r="P58" s="37">
        <v>46081.0</v>
      </c>
      <c r="Q58" s="38"/>
      <c r="R58" s="38"/>
      <c r="S58" s="38"/>
      <c r="T58" s="38"/>
      <c r="U58" s="38"/>
      <c r="V58" s="38"/>
    </row>
    <row r="59">
      <c r="A59" s="23">
        <v>45897.0</v>
      </c>
      <c r="B59" s="27" t="s">
        <v>35</v>
      </c>
      <c r="C59" s="27" t="s">
        <v>143</v>
      </c>
      <c r="D59" s="28" t="s">
        <v>10</v>
      </c>
      <c r="E59" s="27">
        <v>1.0</v>
      </c>
      <c r="F59" s="27"/>
      <c r="G59" s="27">
        <v>3.102001098E9</v>
      </c>
      <c r="H59" s="28">
        <v>7011.0</v>
      </c>
      <c r="I59" s="30" t="str">
        <f t="shared" si="1"/>
        <v>7011-GSB-3102001098</v>
      </c>
      <c r="J59" s="31" t="s">
        <v>186</v>
      </c>
      <c r="K59" s="27" t="s">
        <v>145</v>
      </c>
      <c r="L59" s="41">
        <v>46058.0</v>
      </c>
      <c r="M59" s="48" t="s">
        <v>104</v>
      </c>
      <c r="N59" s="2"/>
      <c r="O59" s="36" t="s">
        <v>186</v>
      </c>
      <c r="P59" s="37">
        <v>46081.0</v>
      </c>
      <c r="Q59" s="38"/>
      <c r="R59" s="38"/>
      <c r="S59" s="38"/>
      <c r="T59" s="38"/>
      <c r="U59" s="38"/>
      <c r="V59" s="38"/>
    </row>
    <row r="60">
      <c r="A60" s="23">
        <v>45897.0</v>
      </c>
      <c r="B60" s="27" t="s">
        <v>35</v>
      </c>
      <c r="C60" s="27" t="s">
        <v>143</v>
      </c>
      <c r="D60" s="28" t="s">
        <v>10</v>
      </c>
      <c r="E60" s="27">
        <v>1.0</v>
      </c>
      <c r="F60" s="27"/>
      <c r="G60" s="27">
        <v>3.102001062E9</v>
      </c>
      <c r="H60" s="28">
        <v>7020.0</v>
      </c>
      <c r="I60" s="30" t="str">
        <f t="shared" si="1"/>
        <v>7020-GSB-3102001062</v>
      </c>
      <c r="J60" s="31" t="s">
        <v>186</v>
      </c>
      <c r="K60" s="27" t="s">
        <v>145</v>
      </c>
      <c r="L60" s="41">
        <v>46058.0</v>
      </c>
      <c r="M60" s="48" t="s">
        <v>104</v>
      </c>
      <c r="N60" s="2"/>
      <c r="O60" s="36" t="s">
        <v>186</v>
      </c>
      <c r="P60" s="37">
        <v>46081.0</v>
      </c>
      <c r="Q60" s="38"/>
      <c r="R60" s="38"/>
      <c r="S60" s="38"/>
      <c r="T60" s="38"/>
      <c r="U60" s="38"/>
      <c r="V60" s="38"/>
    </row>
    <row r="61">
      <c r="A61" s="23">
        <v>45897.0</v>
      </c>
      <c r="B61" s="27" t="s">
        <v>35</v>
      </c>
      <c r="C61" s="27" t="s">
        <v>143</v>
      </c>
      <c r="D61" s="28" t="s">
        <v>10</v>
      </c>
      <c r="E61" s="27">
        <v>1.0</v>
      </c>
      <c r="F61" s="27"/>
      <c r="G61" s="27">
        <v>3.102001067E9</v>
      </c>
      <c r="H61" s="28">
        <v>6586.0</v>
      </c>
      <c r="I61" s="30" t="str">
        <f t="shared" si="1"/>
        <v>6586-GSB-3102001067</v>
      </c>
      <c r="J61" s="31" t="s">
        <v>186</v>
      </c>
      <c r="K61" s="27" t="s">
        <v>145</v>
      </c>
      <c r="L61" s="41">
        <v>46058.0</v>
      </c>
      <c r="M61" s="48" t="s">
        <v>104</v>
      </c>
      <c r="N61" s="2"/>
      <c r="O61" s="36" t="s">
        <v>186</v>
      </c>
      <c r="P61" s="37">
        <v>46081.0</v>
      </c>
      <c r="Q61" s="38"/>
      <c r="R61" s="38"/>
      <c r="S61" s="38"/>
      <c r="T61" s="38"/>
      <c r="U61" s="38"/>
      <c r="V61" s="38"/>
    </row>
    <row r="62">
      <c r="A62" s="23">
        <v>45897.0</v>
      </c>
      <c r="B62" s="27" t="s">
        <v>35</v>
      </c>
      <c r="C62" s="27" t="s">
        <v>143</v>
      </c>
      <c r="D62" s="28" t="s">
        <v>10</v>
      </c>
      <c r="E62" s="27">
        <v>1.0</v>
      </c>
      <c r="F62" s="27"/>
      <c r="G62" s="27">
        <v>3.102001061E9</v>
      </c>
      <c r="H62" s="28">
        <v>6587.0</v>
      </c>
      <c r="I62" s="30" t="str">
        <f t="shared" si="1"/>
        <v>6587-GSB-3102001061</v>
      </c>
      <c r="J62" s="31" t="s">
        <v>186</v>
      </c>
      <c r="K62" s="27" t="s">
        <v>145</v>
      </c>
      <c r="L62" s="41">
        <v>46058.0</v>
      </c>
      <c r="M62" s="48" t="s">
        <v>104</v>
      </c>
      <c r="N62" s="2"/>
      <c r="O62" s="36" t="s">
        <v>186</v>
      </c>
      <c r="P62" s="37">
        <v>46081.0</v>
      </c>
      <c r="Q62" s="38"/>
      <c r="R62" s="38"/>
      <c r="S62" s="38"/>
      <c r="T62" s="38"/>
      <c r="U62" s="38"/>
      <c r="V62" s="38"/>
    </row>
    <row r="63">
      <c r="A63" s="23">
        <v>45897.0</v>
      </c>
      <c r="B63" s="25">
        <v>2.093501849E9</v>
      </c>
      <c r="C63" s="27" t="s">
        <v>148</v>
      </c>
      <c r="D63" s="28" t="s">
        <v>4</v>
      </c>
      <c r="E63" s="27">
        <v>1.0</v>
      </c>
      <c r="F63" s="27"/>
      <c r="G63" s="27" t="s">
        <v>35</v>
      </c>
      <c r="H63" s="28">
        <v>6830.0</v>
      </c>
      <c r="I63" s="30" t="str">
        <f t="shared" si="1"/>
        <v>6830-GSB-N/A</v>
      </c>
      <c r="J63" s="31" t="s">
        <v>186</v>
      </c>
      <c r="K63" s="27" t="s">
        <v>145</v>
      </c>
      <c r="L63" s="41">
        <v>46058.0</v>
      </c>
      <c r="M63" s="48" t="s">
        <v>104</v>
      </c>
      <c r="N63" s="2"/>
      <c r="O63" s="36" t="s">
        <v>186</v>
      </c>
      <c r="P63" s="37">
        <v>46081.0</v>
      </c>
      <c r="Q63" s="38"/>
      <c r="R63" s="38"/>
      <c r="S63" s="38"/>
      <c r="T63" s="38"/>
      <c r="U63" s="38"/>
      <c r="V63" s="38"/>
    </row>
    <row r="64">
      <c r="A64" s="23">
        <v>45897.0</v>
      </c>
      <c r="B64" s="25">
        <v>2.093501849E9</v>
      </c>
      <c r="C64" s="27" t="s">
        <v>148</v>
      </c>
      <c r="D64" s="28" t="s">
        <v>4</v>
      </c>
      <c r="E64" s="27">
        <v>1.0</v>
      </c>
      <c r="F64" s="27"/>
      <c r="G64" s="27" t="s">
        <v>35</v>
      </c>
      <c r="H64" s="28">
        <v>6819.0</v>
      </c>
      <c r="I64" s="30" t="str">
        <f t="shared" si="1"/>
        <v>6819-GSB-N/A</v>
      </c>
      <c r="J64" s="31" t="s">
        <v>186</v>
      </c>
      <c r="K64" s="27" t="s">
        <v>145</v>
      </c>
      <c r="L64" s="41">
        <v>46058.0</v>
      </c>
      <c r="M64" s="48" t="s">
        <v>104</v>
      </c>
      <c r="N64" s="2"/>
      <c r="O64" s="36" t="s">
        <v>186</v>
      </c>
      <c r="P64" s="37">
        <v>46081.0</v>
      </c>
      <c r="Q64" s="38"/>
      <c r="R64" s="38"/>
      <c r="S64" s="38"/>
      <c r="T64" s="38"/>
      <c r="U64" s="38"/>
      <c r="V64" s="38"/>
    </row>
    <row r="65">
      <c r="A65" s="23">
        <v>45897.0</v>
      </c>
      <c r="B65" s="25">
        <v>2.093501849E9</v>
      </c>
      <c r="C65" s="27" t="s">
        <v>148</v>
      </c>
      <c r="D65" s="28" t="s">
        <v>4</v>
      </c>
      <c r="E65" s="27">
        <v>1.0</v>
      </c>
      <c r="F65" s="27"/>
      <c r="G65" s="27" t="s">
        <v>35</v>
      </c>
      <c r="H65" s="28">
        <v>6832.0</v>
      </c>
      <c r="I65" s="30" t="str">
        <f t="shared" si="1"/>
        <v>6832-GSB-N/A</v>
      </c>
      <c r="J65" s="31" t="s">
        <v>186</v>
      </c>
      <c r="K65" s="27" t="s">
        <v>145</v>
      </c>
      <c r="L65" s="41">
        <v>46058.0</v>
      </c>
      <c r="M65" s="48" t="s">
        <v>104</v>
      </c>
      <c r="N65" s="2"/>
      <c r="O65" s="36" t="s">
        <v>186</v>
      </c>
      <c r="P65" s="37">
        <v>46081.0</v>
      </c>
      <c r="Q65" s="38"/>
      <c r="R65" s="38"/>
      <c r="S65" s="38"/>
      <c r="T65" s="38"/>
      <c r="U65" s="38"/>
      <c r="V65" s="38"/>
    </row>
    <row r="66">
      <c r="A66" s="23">
        <v>45897.0</v>
      </c>
      <c r="B66" s="25">
        <v>2.093501849E9</v>
      </c>
      <c r="C66" s="27" t="s">
        <v>148</v>
      </c>
      <c r="D66" s="28" t="s">
        <v>4</v>
      </c>
      <c r="E66" s="27">
        <v>1.0</v>
      </c>
      <c r="F66" s="27"/>
      <c r="G66" s="27" t="s">
        <v>35</v>
      </c>
      <c r="H66" s="28">
        <v>6833.0</v>
      </c>
      <c r="I66" s="30" t="str">
        <f t="shared" si="1"/>
        <v>6833-GSB-N/A</v>
      </c>
      <c r="J66" s="31" t="s">
        <v>186</v>
      </c>
      <c r="K66" s="27" t="s">
        <v>145</v>
      </c>
      <c r="L66" s="41">
        <v>46058.0</v>
      </c>
      <c r="M66" s="48" t="s">
        <v>104</v>
      </c>
      <c r="N66" s="2"/>
      <c r="O66" s="36" t="s">
        <v>186</v>
      </c>
      <c r="P66" s="37">
        <v>46081.0</v>
      </c>
      <c r="Q66" s="38"/>
      <c r="R66" s="38"/>
      <c r="S66" s="38"/>
      <c r="T66" s="38"/>
      <c r="U66" s="38"/>
      <c r="V66" s="38"/>
    </row>
    <row r="67">
      <c r="A67" s="23">
        <v>45897.0</v>
      </c>
      <c r="B67" s="25">
        <v>2.093501849E9</v>
      </c>
      <c r="C67" s="27" t="s">
        <v>148</v>
      </c>
      <c r="D67" s="28" t="s">
        <v>4</v>
      </c>
      <c r="E67" s="27">
        <v>1.0</v>
      </c>
      <c r="F67" s="27"/>
      <c r="G67" s="27" t="s">
        <v>35</v>
      </c>
      <c r="H67" s="28">
        <v>6813.0</v>
      </c>
      <c r="I67" s="30" t="str">
        <f t="shared" si="1"/>
        <v>6813-GSB-N/A</v>
      </c>
      <c r="J67" s="31" t="s">
        <v>186</v>
      </c>
      <c r="K67" s="27" t="s">
        <v>145</v>
      </c>
      <c r="L67" s="41">
        <v>46058.0</v>
      </c>
      <c r="M67" s="48" t="s">
        <v>104</v>
      </c>
      <c r="N67" s="2"/>
      <c r="O67" s="36" t="s">
        <v>186</v>
      </c>
      <c r="P67" s="37">
        <v>46081.0</v>
      </c>
      <c r="Q67" s="38"/>
      <c r="R67" s="38"/>
      <c r="S67" s="38"/>
      <c r="T67" s="38"/>
      <c r="U67" s="38"/>
      <c r="V67" s="38"/>
    </row>
    <row r="68">
      <c r="A68" s="23">
        <v>45897.0</v>
      </c>
      <c r="B68" s="25">
        <v>2.093501849E9</v>
      </c>
      <c r="C68" s="27" t="s">
        <v>148</v>
      </c>
      <c r="D68" s="28" t="s">
        <v>4</v>
      </c>
      <c r="E68" s="27">
        <v>1.0</v>
      </c>
      <c r="F68" s="27"/>
      <c r="G68" s="27" t="s">
        <v>35</v>
      </c>
      <c r="H68" s="28">
        <v>6820.0</v>
      </c>
      <c r="I68" s="30" t="str">
        <f t="shared" si="1"/>
        <v>6820-GSB-N/A</v>
      </c>
      <c r="J68" s="31" t="s">
        <v>186</v>
      </c>
      <c r="K68" s="27" t="s">
        <v>145</v>
      </c>
      <c r="L68" s="41">
        <v>46058.0</v>
      </c>
      <c r="M68" s="48" t="s">
        <v>104</v>
      </c>
      <c r="N68" s="2"/>
      <c r="O68" s="36" t="s">
        <v>186</v>
      </c>
      <c r="P68" s="37">
        <v>46081.0</v>
      </c>
      <c r="Q68" s="38"/>
      <c r="R68" s="38"/>
      <c r="S68" s="38"/>
      <c r="T68" s="38"/>
      <c r="U68" s="38"/>
      <c r="V68" s="38"/>
    </row>
    <row r="69">
      <c r="A69" s="23">
        <v>46048.0</v>
      </c>
      <c r="B69" s="25" t="s">
        <v>94</v>
      </c>
      <c r="C69" s="27" t="s">
        <v>95</v>
      </c>
      <c r="D69" s="28" t="s">
        <v>9</v>
      </c>
      <c r="E69" s="27">
        <v>1.0</v>
      </c>
      <c r="F69" s="27"/>
      <c r="G69" s="27" t="s">
        <v>259</v>
      </c>
      <c r="H69" s="28">
        <v>9078.0</v>
      </c>
      <c r="I69" s="30" t="str">
        <f t="shared" si="1"/>
        <v>9078-GSB-042180247323100014</v>
      </c>
      <c r="J69" s="31" t="s">
        <v>186</v>
      </c>
      <c r="K69" s="27" t="s">
        <v>145</v>
      </c>
      <c r="L69" s="41">
        <v>46058.0</v>
      </c>
      <c r="M69" s="48" t="s">
        <v>104</v>
      </c>
      <c r="N69" s="2"/>
      <c r="O69" s="36" t="s">
        <v>186</v>
      </c>
      <c r="P69" s="37">
        <v>46081.0</v>
      </c>
      <c r="Q69" s="38"/>
      <c r="R69" s="38"/>
      <c r="S69" s="38"/>
      <c r="T69" s="38"/>
      <c r="U69" s="38"/>
      <c r="V69" s="38"/>
    </row>
    <row r="70">
      <c r="A70" s="23">
        <v>46048.0</v>
      </c>
      <c r="B70" s="25" t="s">
        <v>94</v>
      </c>
      <c r="C70" s="27" t="s">
        <v>188</v>
      </c>
      <c r="D70" s="28" t="s">
        <v>189</v>
      </c>
      <c r="E70" s="27">
        <v>1.0</v>
      </c>
      <c r="F70" s="27"/>
      <c r="G70" s="27" t="s">
        <v>262</v>
      </c>
      <c r="H70" s="28">
        <v>5913.0</v>
      </c>
      <c r="I70" s="30" t="str">
        <f t="shared" si="1"/>
        <v>5913-GSB-042174648004100019</v>
      </c>
      <c r="J70" s="31" t="s">
        <v>186</v>
      </c>
      <c r="K70" s="27" t="s">
        <v>145</v>
      </c>
      <c r="L70" s="41">
        <v>46058.0</v>
      </c>
      <c r="M70" s="48" t="s">
        <v>104</v>
      </c>
      <c r="N70" s="2"/>
      <c r="O70" s="36" t="s">
        <v>186</v>
      </c>
      <c r="P70" s="37">
        <v>46081.0</v>
      </c>
      <c r="Q70" s="38"/>
      <c r="R70" s="38"/>
      <c r="S70" s="38"/>
      <c r="T70" s="38"/>
      <c r="U70" s="38"/>
      <c r="V70" s="38"/>
    </row>
    <row r="71">
      <c r="A71" s="23">
        <v>46048.0</v>
      </c>
      <c r="B71" s="25" t="s">
        <v>94</v>
      </c>
      <c r="C71" s="27" t="s">
        <v>188</v>
      </c>
      <c r="D71" s="28" t="s">
        <v>189</v>
      </c>
      <c r="E71" s="27">
        <v>1.0</v>
      </c>
      <c r="F71" s="27"/>
      <c r="G71" s="27" t="s">
        <v>265</v>
      </c>
      <c r="H71" s="28">
        <v>9075.0</v>
      </c>
      <c r="I71" s="30" t="str">
        <f t="shared" si="1"/>
        <v>9075-GSB-042174644023100003</v>
      </c>
      <c r="J71" s="31" t="s">
        <v>186</v>
      </c>
      <c r="K71" s="27" t="s">
        <v>145</v>
      </c>
      <c r="L71" s="41">
        <v>46058.0</v>
      </c>
      <c r="M71" s="48" t="s">
        <v>104</v>
      </c>
      <c r="N71" s="2"/>
      <c r="O71" s="36" t="s">
        <v>186</v>
      </c>
      <c r="P71" s="37">
        <v>46081.0</v>
      </c>
      <c r="Q71" s="38"/>
      <c r="R71" s="38"/>
      <c r="S71" s="38"/>
      <c r="T71" s="38"/>
      <c r="U71" s="38"/>
      <c r="V71" s="38"/>
    </row>
    <row r="72" ht="17.25" customHeight="1">
      <c r="A72" s="23">
        <v>45897.0</v>
      </c>
      <c r="B72" s="25">
        <v>2.093501849E9</v>
      </c>
      <c r="C72" s="27">
        <v>4.998117557E9</v>
      </c>
      <c r="D72" s="28" t="s">
        <v>5</v>
      </c>
      <c r="E72" s="27">
        <v>1.0</v>
      </c>
      <c r="F72" s="27"/>
      <c r="G72" s="27" t="s">
        <v>268</v>
      </c>
      <c r="H72" s="28">
        <v>5726.0</v>
      </c>
      <c r="I72" s="30" t="str">
        <f t="shared" si="1"/>
        <v>5726-GSB-092256847706150197</v>
      </c>
      <c r="J72" s="31" t="s">
        <v>269</v>
      </c>
      <c r="K72" s="27" t="s">
        <v>270</v>
      </c>
      <c r="L72" s="41">
        <v>46060.0</v>
      </c>
      <c r="M72" s="48" t="s">
        <v>60</v>
      </c>
      <c r="N72" s="2">
        <v>2767.0</v>
      </c>
      <c r="O72" s="36" t="s">
        <v>272</v>
      </c>
      <c r="P72" s="37">
        <v>46066.0</v>
      </c>
      <c r="Q72" s="38"/>
      <c r="R72" s="38"/>
      <c r="S72" s="38"/>
      <c r="T72" s="38"/>
      <c r="U72" s="38"/>
      <c r="V72" s="38"/>
    </row>
    <row r="73" ht="17.25" customHeight="1">
      <c r="A73" s="23">
        <v>45897.0</v>
      </c>
      <c r="B73" s="25">
        <v>2.093501849E9</v>
      </c>
      <c r="C73" s="27">
        <v>4.998117557E9</v>
      </c>
      <c r="D73" s="28" t="s">
        <v>5</v>
      </c>
      <c r="E73" s="27">
        <v>1.0</v>
      </c>
      <c r="F73" s="27"/>
      <c r="G73" s="27" t="s">
        <v>274</v>
      </c>
      <c r="H73" s="28">
        <v>5028.0</v>
      </c>
      <c r="I73" s="30" t="str">
        <f t="shared" si="1"/>
        <v>5028-GSB-092256847591000868</v>
      </c>
      <c r="J73" s="31" t="s">
        <v>269</v>
      </c>
      <c r="K73" s="27" t="s">
        <v>270</v>
      </c>
      <c r="L73" s="41">
        <v>46060.0</v>
      </c>
      <c r="M73" s="48" t="s">
        <v>60</v>
      </c>
      <c r="N73" s="2">
        <v>2767.0</v>
      </c>
      <c r="O73" s="36" t="s">
        <v>272</v>
      </c>
      <c r="P73" s="37">
        <v>46066.0</v>
      </c>
      <c r="Q73" s="38"/>
      <c r="R73" s="38"/>
      <c r="S73" s="38"/>
      <c r="T73" s="38"/>
      <c r="U73" s="38"/>
      <c r="V73" s="38"/>
    </row>
    <row r="74" ht="17.25" customHeight="1">
      <c r="A74" s="23">
        <v>45897.0</v>
      </c>
      <c r="B74" s="25">
        <v>2.093501849E9</v>
      </c>
      <c r="C74" s="27">
        <v>4.998117557E9</v>
      </c>
      <c r="D74" s="28" t="s">
        <v>5</v>
      </c>
      <c r="E74" s="27">
        <v>1.0</v>
      </c>
      <c r="F74" s="27"/>
      <c r="G74" s="27" t="s">
        <v>276</v>
      </c>
      <c r="H74" s="28">
        <v>5723.0</v>
      </c>
      <c r="I74" s="30" t="str">
        <f t="shared" si="1"/>
        <v>5723-GSB-092256847706150194</v>
      </c>
      <c r="J74" s="31" t="s">
        <v>269</v>
      </c>
      <c r="K74" s="27" t="s">
        <v>270</v>
      </c>
      <c r="L74" s="41">
        <v>46060.0</v>
      </c>
      <c r="M74" s="48" t="s">
        <v>60</v>
      </c>
      <c r="N74" s="53"/>
      <c r="O74" s="53"/>
      <c r="P74" s="53"/>
      <c r="Q74" s="38"/>
      <c r="R74" s="38"/>
      <c r="S74" s="38"/>
      <c r="T74" s="38"/>
      <c r="U74" s="38"/>
      <c r="V74" s="38"/>
    </row>
    <row r="75" ht="16.5" customHeight="1">
      <c r="A75" s="23">
        <v>45897.0</v>
      </c>
      <c r="B75" s="25">
        <v>2.093501849E9</v>
      </c>
      <c r="C75" s="27">
        <v>4.998117557E9</v>
      </c>
      <c r="D75" s="28" t="s">
        <v>5</v>
      </c>
      <c r="E75" s="27">
        <v>1.0</v>
      </c>
      <c r="F75" s="27"/>
      <c r="G75" s="27" t="s">
        <v>278</v>
      </c>
      <c r="H75" s="28">
        <v>5903.0</v>
      </c>
      <c r="I75" s="30" t="str">
        <f t="shared" si="1"/>
        <v>5903-GSB-092256847892120456</v>
      </c>
      <c r="J75" s="31" t="s">
        <v>269</v>
      </c>
      <c r="K75" s="27" t="s">
        <v>270</v>
      </c>
      <c r="L75" s="41">
        <v>46060.0</v>
      </c>
      <c r="M75" s="48" t="s">
        <v>60</v>
      </c>
      <c r="N75" s="2">
        <v>2768.0</v>
      </c>
      <c r="O75" s="36" t="s">
        <v>280</v>
      </c>
      <c r="P75" s="37">
        <v>46069.0</v>
      </c>
      <c r="Q75" s="38"/>
      <c r="R75" s="38"/>
      <c r="S75" s="38"/>
      <c r="T75" s="38"/>
      <c r="U75" s="38"/>
      <c r="V75" s="38"/>
    </row>
    <row r="76">
      <c r="A76" s="23">
        <v>45897.0</v>
      </c>
      <c r="B76" s="25">
        <v>2.093501849E9</v>
      </c>
      <c r="C76" s="27" t="s">
        <v>148</v>
      </c>
      <c r="D76" s="28" t="s">
        <v>4</v>
      </c>
      <c r="E76" s="27">
        <v>1.0</v>
      </c>
      <c r="F76" s="27"/>
      <c r="G76" s="27" t="s">
        <v>35</v>
      </c>
      <c r="H76" s="28">
        <v>6823.0</v>
      </c>
      <c r="I76" s="30" t="str">
        <f t="shared" si="1"/>
        <v>6823-GSB-N/A</v>
      </c>
      <c r="J76" s="31" t="s">
        <v>282</v>
      </c>
      <c r="K76" s="27" t="s">
        <v>85</v>
      </c>
      <c r="L76" s="41">
        <v>46064.0</v>
      </c>
      <c r="M76" s="48" t="s">
        <v>60</v>
      </c>
      <c r="N76" s="2">
        <v>1117.0</v>
      </c>
      <c r="O76" s="36" t="s">
        <v>284</v>
      </c>
      <c r="P76" s="37">
        <v>46071.0</v>
      </c>
      <c r="Q76" s="38"/>
      <c r="R76" s="38"/>
      <c r="S76" s="38"/>
      <c r="T76" s="38"/>
      <c r="U76" s="38"/>
      <c r="V76" s="38"/>
    </row>
    <row r="77">
      <c r="A77" s="23">
        <v>45897.0</v>
      </c>
      <c r="B77" s="25">
        <v>2.093501849E9</v>
      </c>
      <c r="C77" s="27" t="s">
        <v>148</v>
      </c>
      <c r="D77" s="28" t="s">
        <v>4</v>
      </c>
      <c r="E77" s="27">
        <v>1.0</v>
      </c>
      <c r="F77" s="27"/>
      <c r="G77" s="27" t="s">
        <v>35</v>
      </c>
      <c r="H77" s="28">
        <v>6827.0</v>
      </c>
      <c r="I77" s="30" t="str">
        <f t="shared" si="1"/>
        <v>6827-GSB-N/A</v>
      </c>
      <c r="J77" s="31" t="s">
        <v>282</v>
      </c>
      <c r="K77" s="27" t="s">
        <v>85</v>
      </c>
      <c r="L77" s="41">
        <v>46064.0</v>
      </c>
      <c r="M77" s="48" t="s">
        <v>60</v>
      </c>
      <c r="N77" s="2">
        <v>1117.0</v>
      </c>
      <c r="O77" s="36" t="s">
        <v>284</v>
      </c>
      <c r="P77" s="37">
        <v>46071.0</v>
      </c>
      <c r="Q77" s="38"/>
      <c r="R77" s="38"/>
      <c r="S77" s="38"/>
      <c r="T77" s="38"/>
      <c r="U77" s="38"/>
      <c r="V77" s="38"/>
    </row>
    <row r="78">
      <c r="A78" s="23">
        <v>45897.0</v>
      </c>
      <c r="B78" s="25">
        <v>2.093501849E9</v>
      </c>
      <c r="C78" s="27" t="s">
        <v>148</v>
      </c>
      <c r="D78" s="28" t="s">
        <v>4</v>
      </c>
      <c r="E78" s="27">
        <v>1.0</v>
      </c>
      <c r="F78" s="27"/>
      <c r="G78" s="27" t="s">
        <v>35</v>
      </c>
      <c r="H78" s="28">
        <v>6824.0</v>
      </c>
      <c r="I78" s="30" t="str">
        <f t="shared" si="1"/>
        <v>6824-GSB-N/A</v>
      </c>
      <c r="J78" s="31" t="s">
        <v>282</v>
      </c>
      <c r="K78" s="27" t="s">
        <v>85</v>
      </c>
      <c r="L78" s="41">
        <v>46064.0</v>
      </c>
      <c r="M78" s="48" t="s">
        <v>60</v>
      </c>
      <c r="N78" s="2">
        <v>1117.0</v>
      </c>
      <c r="O78" s="36" t="s">
        <v>284</v>
      </c>
      <c r="P78" s="37">
        <v>46071.0</v>
      </c>
      <c r="Q78" s="38"/>
      <c r="R78" s="38"/>
      <c r="S78" s="38"/>
      <c r="T78" s="38"/>
      <c r="U78" s="38"/>
      <c r="V78" s="38"/>
    </row>
    <row r="79">
      <c r="A79" s="23">
        <v>46064.0</v>
      </c>
      <c r="B79" s="25" t="s">
        <v>94</v>
      </c>
      <c r="C79" s="27">
        <v>4.998114565E9</v>
      </c>
      <c r="D79" s="28" t="s">
        <v>287</v>
      </c>
      <c r="E79" s="27">
        <v>1.0</v>
      </c>
      <c r="F79" s="27"/>
      <c r="G79" s="27">
        <v>1035648.0</v>
      </c>
      <c r="H79" s="28">
        <v>9116.0</v>
      </c>
      <c r="I79" s="30" t="str">
        <f t="shared" si="1"/>
        <v>9116-GSB-1035648</v>
      </c>
      <c r="J79" s="31" t="s">
        <v>282</v>
      </c>
      <c r="K79" s="27" t="s">
        <v>85</v>
      </c>
      <c r="L79" s="41">
        <v>46064.0</v>
      </c>
      <c r="M79" s="48" t="s">
        <v>60</v>
      </c>
      <c r="N79" s="2">
        <v>1117.0</v>
      </c>
      <c r="O79" s="36" t="s">
        <v>284</v>
      </c>
      <c r="P79" s="37">
        <v>46071.0</v>
      </c>
      <c r="Q79" s="38"/>
      <c r="R79" s="38"/>
      <c r="S79" s="38"/>
      <c r="T79" s="38"/>
      <c r="U79" s="38"/>
      <c r="V79" s="38"/>
    </row>
    <row r="80">
      <c r="A80" s="23">
        <v>46064.0</v>
      </c>
      <c r="B80" s="25" t="s">
        <v>94</v>
      </c>
      <c r="C80" s="27">
        <v>4.998114565E9</v>
      </c>
      <c r="D80" s="28" t="s">
        <v>287</v>
      </c>
      <c r="E80" s="27">
        <v>1.0</v>
      </c>
      <c r="F80" s="27"/>
      <c r="G80" s="27">
        <v>1027898.0</v>
      </c>
      <c r="H80" s="28">
        <v>9115.0</v>
      </c>
      <c r="I80" s="30" t="str">
        <f t="shared" si="1"/>
        <v>9115-GSB-1027898</v>
      </c>
      <c r="J80" s="31" t="s">
        <v>282</v>
      </c>
      <c r="K80" s="27" t="s">
        <v>85</v>
      </c>
      <c r="L80" s="41">
        <v>46064.0</v>
      </c>
      <c r="M80" s="48" t="s">
        <v>60</v>
      </c>
      <c r="N80" s="2">
        <v>1117.0</v>
      </c>
      <c r="O80" s="36" t="s">
        <v>284</v>
      </c>
      <c r="P80" s="37">
        <v>46071.0</v>
      </c>
      <c r="Q80" s="38"/>
      <c r="R80" s="38"/>
      <c r="S80" s="38"/>
      <c r="T80" s="38"/>
      <c r="U80" s="38"/>
      <c r="V80" s="38"/>
    </row>
    <row r="81">
      <c r="A81" s="23">
        <v>46064.0</v>
      </c>
      <c r="B81" s="25" t="s">
        <v>94</v>
      </c>
      <c r="C81" s="27">
        <v>4.998114565E9</v>
      </c>
      <c r="D81" s="28" t="s">
        <v>287</v>
      </c>
      <c r="E81" s="27">
        <v>1.0</v>
      </c>
      <c r="F81" s="27"/>
      <c r="G81" s="27">
        <v>1027903.0</v>
      </c>
      <c r="H81" s="28">
        <v>9114.0</v>
      </c>
      <c r="I81" s="30" t="str">
        <f t="shared" si="1"/>
        <v>9114-GSB-1027903</v>
      </c>
      <c r="J81" s="31" t="s">
        <v>282</v>
      </c>
      <c r="K81" s="27" t="s">
        <v>85</v>
      </c>
      <c r="L81" s="41">
        <v>46064.0</v>
      </c>
      <c r="M81" s="48" t="s">
        <v>60</v>
      </c>
      <c r="N81" s="2">
        <v>1117.0</v>
      </c>
      <c r="O81" s="36" t="s">
        <v>284</v>
      </c>
      <c r="P81" s="37">
        <v>46071.0</v>
      </c>
      <c r="Q81" s="38"/>
      <c r="R81" s="38"/>
      <c r="S81" s="38"/>
      <c r="T81" s="38"/>
      <c r="U81" s="38"/>
      <c r="V81" s="38"/>
    </row>
    <row r="82">
      <c r="A82" s="23">
        <v>46064.0</v>
      </c>
      <c r="B82" s="25" t="s">
        <v>94</v>
      </c>
      <c r="C82" s="27" t="s">
        <v>292</v>
      </c>
      <c r="D82" s="28" t="s">
        <v>293</v>
      </c>
      <c r="E82" s="27">
        <v>1.0</v>
      </c>
      <c r="F82" s="27"/>
      <c r="G82" s="27" t="s">
        <v>294</v>
      </c>
      <c r="H82" s="28">
        <v>9117.0</v>
      </c>
      <c r="I82" s="30" t="str">
        <f t="shared" si="1"/>
        <v>9117-GSB-042174647816100032</v>
      </c>
      <c r="J82" s="31" t="s">
        <v>282</v>
      </c>
      <c r="K82" s="27" t="s">
        <v>85</v>
      </c>
      <c r="L82" s="41">
        <v>46064.0</v>
      </c>
      <c r="M82" s="48" t="s">
        <v>60</v>
      </c>
      <c r="N82" s="2">
        <v>1117.0</v>
      </c>
      <c r="O82" s="36" t="s">
        <v>284</v>
      </c>
      <c r="P82" s="37">
        <v>46071.0</v>
      </c>
      <c r="Q82" s="38"/>
      <c r="R82" s="38"/>
      <c r="S82" s="38"/>
      <c r="T82" s="38"/>
      <c r="U82" s="38"/>
      <c r="V82" s="38"/>
    </row>
    <row r="83">
      <c r="A83" s="23">
        <v>46064.0</v>
      </c>
      <c r="B83" s="25" t="s">
        <v>94</v>
      </c>
      <c r="C83" s="27" t="s">
        <v>129</v>
      </c>
      <c r="D83" s="28" t="s">
        <v>296</v>
      </c>
      <c r="E83" s="27">
        <v>1.0</v>
      </c>
      <c r="F83" s="27"/>
      <c r="G83" s="27">
        <v>9.314033730871E16</v>
      </c>
      <c r="H83" s="28">
        <v>9120.0</v>
      </c>
      <c r="I83" s="30" t="str">
        <f t="shared" si="1"/>
        <v>9120-GSB-93140337308710000</v>
      </c>
      <c r="J83" s="31" t="s">
        <v>282</v>
      </c>
      <c r="K83" s="27" t="s">
        <v>85</v>
      </c>
      <c r="L83" s="41">
        <v>46064.0</v>
      </c>
      <c r="M83" s="48" t="s">
        <v>60</v>
      </c>
      <c r="N83" s="2">
        <v>1117.0</v>
      </c>
      <c r="O83" s="36" t="s">
        <v>284</v>
      </c>
      <c r="P83" s="37">
        <v>46071.0</v>
      </c>
      <c r="Q83" s="38"/>
      <c r="R83" s="38"/>
      <c r="S83" s="38"/>
      <c r="T83" s="38"/>
      <c r="U83" s="38"/>
      <c r="V83" s="38"/>
    </row>
    <row r="84">
      <c r="A84" s="23">
        <v>46064.0</v>
      </c>
      <c r="B84" s="25" t="s">
        <v>94</v>
      </c>
      <c r="C84" s="27" t="s">
        <v>129</v>
      </c>
      <c r="D84" s="28" t="s">
        <v>296</v>
      </c>
      <c r="E84" s="27">
        <v>1.0</v>
      </c>
      <c r="F84" s="27"/>
      <c r="G84" s="27">
        <v>9.314034757652E16</v>
      </c>
      <c r="H84" s="28">
        <v>9119.0</v>
      </c>
      <c r="I84" s="30" t="str">
        <f t="shared" si="1"/>
        <v>9119-GSB-93140347576520000</v>
      </c>
      <c r="J84" s="31" t="s">
        <v>282</v>
      </c>
      <c r="K84" s="27" t="s">
        <v>85</v>
      </c>
      <c r="L84" s="41">
        <v>46064.0</v>
      </c>
      <c r="M84" s="48" t="s">
        <v>60</v>
      </c>
      <c r="N84" s="2">
        <v>1117.0</v>
      </c>
      <c r="O84" s="36" t="s">
        <v>284</v>
      </c>
      <c r="P84" s="37">
        <v>46071.0</v>
      </c>
      <c r="Q84" s="38"/>
      <c r="R84" s="38"/>
      <c r="S84" s="38"/>
      <c r="T84" s="38"/>
      <c r="U84" s="38"/>
      <c r="V84" s="38"/>
    </row>
    <row r="85">
      <c r="A85" s="23">
        <v>46064.0</v>
      </c>
      <c r="B85" s="25" t="s">
        <v>94</v>
      </c>
      <c r="C85" s="27" t="s">
        <v>129</v>
      </c>
      <c r="D85" s="28" t="s">
        <v>296</v>
      </c>
      <c r="E85" s="27">
        <v>1.0</v>
      </c>
      <c r="F85" s="27"/>
      <c r="G85" s="27">
        <v>9.314033766164E16</v>
      </c>
      <c r="H85" s="28">
        <v>9118.0</v>
      </c>
      <c r="I85" s="30" t="str">
        <f t="shared" si="1"/>
        <v>9118-GSB-93140337661640000</v>
      </c>
      <c r="J85" s="31" t="s">
        <v>282</v>
      </c>
      <c r="K85" s="27" t="s">
        <v>85</v>
      </c>
      <c r="L85" s="41">
        <v>46064.0</v>
      </c>
      <c r="M85" s="48" t="s">
        <v>60</v>
      </c>
      <c r="N85" s="2">
        <v>1117.0</v>
      </c>
      <c r="O85" s="36" t="s">
        <v>284</v>
      </c>
      <c r="P85" s="37">
        <v>46071.0</v>
      </c>
      <c r="Q85" s="38"/>
      <c r="R85" s="38"/>
      <c r="S85" s="38"/>
      <c r="T85" s="38"/>
      <c r="U85" s="38"/>
      <c r="V85" s="38"/>
    </row>
    <row r="86">
      <c r="A86" s="23">
        <v>45897.0</v>
      </c>
      <c r="B86" s="25">
        <v>2.093501849E9</v>
      </c>
      <c r="C86" s="27" t="s">
        <v>71</v>
      </c>
      <c r="D86" s="28" t="s">
        <v>50</v>
      </c>
      <c r="E86" s="27">
        <v>1.0</v>
      </c>
      <c r="F86" s="27"/>
      <c r="G86" s="27" t="s">
        <v>301</v>
      </c>
      <c r="H86" s="28">
        <v>2433.0</v>
      </c>
      <c r="I86" s="30" t="str">
        <f t="shared" si="1"/>
        <v>2433-GSB-042163653706100275</v>
      </c>
      <c r="J86" s="31" t="s">
        <v>282</v>
      </c>
      <c r="K86" s="27" t="s">
        <v>85</v>
      </c>
      <c r="L86" s="41">
        <v>46064.0</v>
      </c>
      <c r="M86" s="48" t="s">
        <v>60</v>
      </c>
      <c r="N86" s="2">
        <v>1117.0</v>
      </c>
      <c r="O86" s="36" t="s">
        <v>284</v>
      </c>
      <c r="P86" s="37">
        <v>46071.0</v>
      </c>
      <c r="Q86" s="38"/>
      <c r="R86" s="38"/>
      <c r="S86" s="38"/>
      <c r="T86" s="38"/>
      <c r="U86" s="38"/>
      <c r="V86" s="38"/>
    </row>
    <row r="87">
      <c r="A87" s="23">
        <v>45897.0</v>
      </c>
      <c r="B87" s="25">
        <v>2.093501849E9</v>
      </c>
      <c r="C87" s="27" t="s">
        <v>71</v>
      </c>
      <c r="D87" s="28" t="s">
        <v>50</v>
      </c>
      <c r="E87" s="27">
        <v>1.0</v>
      </c>
      <c r="F87" s="27"/>
      <c r="G87" s="27" t="s">
        <v>303</v>
      </c>
      <c r="H87" s="28">
        <v>2470.0</v>
      </c>
      <c r="I87" s="30" t="str">
        <f t="shared" si="1"/>
        <v>2470-GSB-042163653706100206</v>
      </c>
      <c r="J87" s="31" t="s">
        <v>282</v>
      </c>
      <c r="K87" s="27" t="s">
        <v>85</v>
      </c>
      <c r="L87" s="41">
        <v>46064.0</v>
      </c>
      <c r="M87" s="48" t="s">
        <v>60</v>
      </c>
      <c r="N87" s="53" t="s">
        <v>305</v>
      </c>
      <c r="O87" s="36"/>
      <c r="P87" s="37"/>
      <c r="Q87" s="38"/>
      <c r="R87" s="38"/>
      <c r="S87" s="38"/>
      <c r="T87" s="38"/>
      <c r="U87" s="38"/>
      <c r="V87" s="38"/>
    </row>
    <row r="88">
      <c r="A88" s="23">
        <v>45897.0</v>
      </c>
      <c r="B88" s="25">
        <v>2.093501849E9</v>
      </c>
      <c r="C88" s="27" t="s">
        <v>71</v>
      </c>
      <c r="D88" s="28" t="s">
        <v>50</v>
      </c>
      <c r="E88" s="27">
        <v>1.0</v>
      </c>
      <c r="F88" s="27"/>
      <c r="G88" s="27" t="s">
        <v>307</v>
      </c>
      <c r="H88" s="28">
        <v>2469.0</v>
      </c>
      <c r="I88" s="30" t="str">
        <f t="shared" si="1"/>
        <v>2469-GSB-042163653706100209</v>
      </c>
      <c r="J88" s="31" t="s">
        <v>282</v>
      </c>
      <c r="K88" s="27" t="s">
        <v>85</v>
      </c>
      <c r="L88" s="41">
        <v>46064.0</v>
      </c>
      <c r="M88" s="48" t="s">
        <v>60</v>
      </c>
      <c r="N88" s="2">
        <v>1117.0</v>
      </c>
      <c r="O88" s="36" t="s">
        <v>284</v>
      </c>
      <c r="P88" s="37">
        <v>46071.0</v>
      </c>
      <c r="Q88" s="38"/>
      <c r="R88" s="38"/>
      <c r="S88" s="38"/>
      <c r="T88" s="38"/>
      <c r="U88" s="38"/>
      <c r="V88" s="38"/>
    </row>
    <row r="89">
      <c r="A89" s="23">
        <v>45897.0</v>
      </c>
      <c r="B89" s="25">
        <v>2.093501849E9</v>
      </c>
      <c r="C89" s="27" t="s">
        <v>71</v>
      </c>
      <c r="D89" s="28" t="s">
        <v>50</v>
      </c>
      <c r="E89" s="27">
        <v>1.0</v>
      </c>
      <c r="F89" s="27"/>
      <c r="G89" s="27" t="s">
        <v>309</v>
      </c>
      <c r="H89" s="28">
        <v>2444.0</v>
      </c>
      <c r="I89" s="30" t="str">
        <f t="shared" si="1"/>
        <v>2444-GSB-042163653706100225</v>
      </c>
      <c r="J89" s="31" t="s">
        <v>282</v>
      </c>
      <c r="K89" s="27" t="s">
        <v>85</v>
      </c>
      <c r="L89" s="41">
        <v>46064.0</v>
      </c>
      <c r="M89" s="48" t="s">
        <v>60</v>
      </c>
      <c r="N89" s="2">
        <v>1117.0</v>
      </c>
      <c r="O89" s="36" t="s">
        <v>284</v>
      </c>
      <c r="P89" s="37">
        <v>46071.0</v>
      </c>
      <c r="Q89" s="38"/>
      <c r="R89" s="38"/>
      <c r="S89" s="38"/>
      <c r="T89" s="38"/>
      <c r="U89" s="38"/>
      <c r="V89" s="38"/>
    </row>
    <row r="90">
      <c r="A90" s="23">
        <v>45897.0</v>
      </c>
      <c r="B90" s="25">
        <v>2.093501849E9</v>
      </c>
      <c r="C90" s="27" t="s">
        <v>40</v>
      </c>
      <c r="D90" s="28" t="s">
        <v>8</v>
      </c>
      <c r="E90" s="27">
        <v>1.0</v>
      </c>
      <c r="F90" s="27"/>
      <c r="G90" s="27" t="s">
        <v>311</v>
      </c>
      <c r="H90" s="28">
        <v>6750.0</v>
      </c>
      <c r="I90" s="30" t="str">
        <f t="shared" si="1"/>
        <v>6750-GSB-042257948013020036</v>
      </c>
      <c r="J90" s="31" t="s">
        <v>282</v>
      </c>
      <c r="K90" s="27" t="s">
        <v>85</v>
      </c>
      <c r="L90" s="41">
        <v>46064.0</v>
      </c>
      <c r="M90" s="48" t="s">
        <v>60</v>
      </c>
      <c r="N90" s="2">
        <v>1117.0</v>
      </c>
      <c r="O90" s="36" t="s">
        <v>284</v>
      </c>
      <c r="P90" s="37">
        <v>46071.0</v>
      </c>
      <c r="Q90" s="38"/>
      <c r="R90" s="38"/>
      <c r="S90" s="38"/>
      <c r="T90" s="38"/>
      <c r="U90" s="38"/>
      <c r="V90" s="38"/>
    </row>
    <row r="91">
      <c r="A91" s="23">
        <v>45897.0</v>
      </c>
      <c r="B91" s="25">
        <v>2.093501849E9</v>
      </c>
      <c r="C91" s="27">
        <v>4.998117557E9</v>
      </c>
      <c r="D91" s="28" t="s">
        <v>5</v>
      </c>
      <c r="E91" s="27">
        <v>1.0</v>
      </c>
      <c r="F91" s="27"/>
      <c r="G91" s="27" t="s">
        <v>314</v>
      </c>
      <c r="H91" s="28">
        <v>5994.0</v>
      </c>
      <c r="I91" s="30" t="str">
        <f t="shared" si="1"/>
        <v>5994-GSB-092256847892120297</v>
      </c>
      <c r="J91" s="31" t="s">
        <v>282</v>
      </c>
      <c r="K91" s="27" t="s">
        <v>85</v>
      </c>
      <c r="L91" s="41">
        <v>46064.0</v>
      </c>
      <c r="M91" s="48" t="s">
        <v>60</v>
      </c>
      <c r="N91" s="2">
        <v>1117.0</v>
      </c>
      <c r="O91" s="36" t="s">
        <v>284</v>
      </c>
      <c r="P91" s="37">
        <v>46071.0</v>
      </c>
      <c r="Q91" s="38"/>
      <c r="R91" s="38"/>
      <c r="S91" s="38"/>
      <c r="T91" s="38"/>
      <c r="U91" s="38"/>
      <c r="V91" s="38"/>
    </row>
    <row r="92">
      <c r="A92" s="23">
        <v>45897.0</v>
      </c>
      <c r="B92" s="25">
        <v>2.093501849E9</v>
      </c>
      <c r="C92" s="27">
        <v>4.998117557E9</v>
      </c>
      <c r="D92" s="28" t="s">
        <v>5</v>
      </c>
      <c r="E92" s="27">
        <v>1.0</v>
      </c>
      <c r="F92" s="27"/>
      <c r="G92" s="27" t="s">
        <v>316</v>
      </c>
      <c r="H92" s="28">
        <v>5006.0</v>
      </c>
      <c r="I92" s="30" t="str">
        <f t="shared" si="1"/>
        <v>5006-GSB-092256847591000891</v>
      </c>
      <c r="J92" s="31" t="s">
        <v>282</v>
      </c>
      <c r="K92" s="27" t="s">
        <v>85</v>
      </c>
      <c r="L92" s="41">
        <v>46064.0</v>
      </c>
      <c r="M92" s="48" t="s">
        <v>60</v>
      </c>
      <c r="N92" s="2">
        <v>1117.0</v>
      </c>
      <c r="O92" s="36" t="s">
        <v>284</v>
      </c>
      <c r="P92" s="37">
        <v>46071.0</v>
      </c>
      <c r="Q92" s="38"/>
      <c r="R92" s="38"/>
      <c r="S92" s="38"/>
      <c r="T92" s="38"/>
      <c r="U92" s="38"/>
      <c r="V92" s="38"/>
    </row>
    <row r="93">
      <c r="A93" s="23">
        <v>45897.0</v>
      </c>
      <c r="B93" s="25">
        <v>2.093501849E9</v>
      </c>
      <c r="C93" s="27">
        <v>4.998117557E9</v>
      </c>
      <c r="D93" s="28" t="s">
        <v>5</v>
      </c>
      <c r="E93" s="27">
        <v>1.0</v>
      </c>
      <c r="F93" s="27"/>
      <c r="G93" s="27" t="s">
        <v>319</v>
      </c>
      <c r="H93" s="28">
        <v>4941.0</v>
      </c>
      <c r="I93" s="30" t="str">
        <f t="shared" si="1"/>
        <v>4941-GSB-092256847517520202</v>
      </c>
      <c r="J93" s="31" t="s">
        <v>282</v>
      </c>
      <c r="K93" s="27" t="s">
        <v>85</v>
      </c>
      <c r="L93" s="41">
        <v>46064.0</v>
      </c>
      <c r="M93" s="48" t="s">
        <v>60</v>
      </c>
      <c r="N93" s="2">
        <v>1117.0</v>
      </c>
      <c r="O93" s="36" t="s">
        <v>284</v>
      </c>
      <c r="P93" s="37">
        <v>46071.0</v>
      </c>
      <c r="Q93" s="38"/>
      <c r="R93" s="38"/>
      <c r="S93" s="38"/>
      <c r="T93" s="38"/>
      <c r="U93" s="38"/>
      <c r="V93" s="38"/>
    </row>
    <row r="94">
      <c r="A94" s="23">
        <v>45897.0</v>
      </c>
      <c r="B94" s="25">
        <v>2.093501849E9</v>
      </c>
      <c r="C94" s="27" t="s">
        <v>108</v>
      </c>
      <c r="D94" s="28" t="s">
        <v>43</v>
      </c>
      <c r="E94" s="27">
        <v>1.0</v>
      </c>
      <c r="F94" s="27"/>
      <c r="G94" s="27">
        <v>2.0240007985E11</v>
      </c>
      <c r="H94" s="28">
        <v>6606.0</v>
      </c>
      <c r="I94" s="30" t="str">
        <f t="shared" si="1"/>
        <v>6606-GSB-202400079850</v>
      </c>
      <c r="J94" s="31" t="s">
        <v>282</v>
      </c>
      <c r="K94" s="27" t="s">
        <v>85</v>
      </c>
      <c r="L94" s="41">
        <v>46064.0</v>
      </c>
      <c r="M94" s="48" t="s">
        <v>60</v>
      </c>
      <c r="N94" s="2">
        <v>1117.0</v>
      </c>
      <c r="O94" s="36" t="s">
        <v>284</v>
      </c>
      <c r="P94" s="37">
        <v>46081.0</v>
      </c>
      <c r="Q94" s="38"/>
      <c r="R94" s="38"/>
      <c r="S94" s="38"/>
      <c r="T94" s="38"/>
      <c r="U94" s="38"/>
      <c r="V94" s="38"/>
    </row>
    <row r="95">
      <c r="A95" s="23">
        <v>45897.0</v>
      </c>
      <c r="B95" s="25">
        <v>2.093501849E9</v>
      </c>
      <c r="C95" s="27" t="s">
        <v>108</v>
      </c>
      <c r="D95" s="28" t="s">
        <v>43</v>
      </c>
      <c r="E95" s="27">
        <v>1.0</v>
      </c>
      <c r="F95" s="27"/>
      <c r="G95" s="27">
        <v>2.02400079878E11</v>
      </c>
      <c r="H95" s="28">
        <v>6591.0</v>
      </c>
      <c r="I95" s="30" t="str">
        <f t="shared" si="1"/>
        <v>6591-GSB-202400079878</v>
      </c>
      <c r="J95" s="31" t="s">
        <v>282</v>
      </c>
      <c r="K95" s="27" t="s">
        <v>85</v>
      </c>
      <c r="L95" s="41">
        <v>46064.0</v>
      </c>
      <c r="M95" s="48" t="s">
        <v>60</v>
      </c>
      <c r="N95" s="2">
        <v>1117.0</v>
      </c>
      <c r="O95" s="36" t="s">
        <v>284</v>
      </c>
      <c r="P95" s="37">
        <v>46081.0</v>
      </c>
      <c r="Q95" s="38"/>
      <c r="R95" s="38"/>
      <c r="S95" s="38"/>
      <c r="T95" s="38"/>
      <c r="U95" s="38"/>
      <c r="V95" s="38"/>
    </row>
    <row r="96">
      <c r="A96" s="23">
        <v>45897.0</v>
      </c>
      <c r="B96" s="25">
        <v>2.093501849E9</v>
      </c>
      <c r="C96" s="27" t="s">
        <v>40</v>
      </c>
      <c r="D96" s="28" t="s">
        <v>8</v>
      </c>
      <c r="E96" s="27">
        <v>1.0</v>
      </c>
      <c r="F96" s="27"/>
      <c r="G96" s="27" t="s">
        <v>329</v>
      </c>
      <c r="H96" s="28">
        <v>6777.0</v>
      </c>
      <c r="I96" s="30" t="str">
        <f t="shared" si="1"/>
        <v>6777-GSB-042257953720020169</v>
      </c>
      <c r="J96" s="31" t="s">
        <v>282</v>
      </c>
      <c r="K96" s="27" t="s">
        <v>85</v>
      </c>
      <c r="L96" s="41">
        <v>46064.0</v>
      </c>
      <c r="M96" s="35" t="s">
        <v>60</v>
      </c>
      <c r="N96" s="2">
        <v>1117.0</v>
      </c>
      <c r="O96" s="36" t="s">
        <v>284</v>
      </c>
      <c r="P96" s="37">
        <v>46071.0</v>
      </c>
      <c r="Q96" s="38"/>
      <c r="R96" s="38"/>
      <c r="S96" s="38"/>
      <c r="T96" s="38"/>
      <c r="U96" s="38"/>
      <c r="V96" s="38"/>
    </row>
    <row r="97">
      <c r="A97" s="27" t="s">
        <v>35</v>
      </c>
      <c r="B97" s="27" t="s">
        <v>35</v>
      </c>
      <c r="C97" s="27" t="s">
        <v>332</v>
      </c>
      <c r="D97" s="28" t="s">
        <v>333</v>
      </c>
      <c r="E97" s="27">
        <v>1.0</v>
      </c>
      <c r="F97" s="27"/>
      <c r="G97" s="27" t="s">
        <v>335</v>
      </c>
      <c r="H97" s="28">
        <v>9062.0</v>
      </c>
      <c r="I97" s="30" t="str">
        <f t="shared" si="1"/>
        <v>9062-GSB-SDS-1028200</v>
      </c>
      <c r="J97" s="31" t="s">
        <v>336</v>
      </c>
      <c r="K97" s="27" t="s">
        <v>55</v>
      </c>
      <c r="L97" s="34">
        <v>46071.0</v>
      </c>
      <c r="M97" s="35" t="s">
        <v>60</v>
      </c>
      <c r="N97" s="2">
        <v>3485.0</v>
      </c>
      <c r="O97" s="36" t="s">
        <v>337</v>
      </c>
      <c r="P97" s="63">
        <v>46191.0</v>
      </c>
      <c r="Q97" s="38"/>
      <c r="R97" s="38"/>
      <c r="S97" s="38"/>
      <c r="T97" s="38"/>
      <c r="U97" s="38"/>
      <c r="V97" s="38"/>
    </row>
    <row r="98">
      <c r="A98" s="23">
        <v>45897.0</v>
      </c>
      <c r="B98" s="25">
        <v>2.093501849E9</v>
      </c>
      <c r="C98" s="27" t="s">
        <v>342</v>
      </c>
      <c r="D98" s="28" t="s">
        <v>51</v>
      </c>
      <c r="E98" s="27">
        <v>1.0</v>
      </c>
      <c r="F98" s="27"/>
      <c r="G98" s="27" t="s">
        <v>344</v>
      </c>
      <c r="H98" s="28">
        <v>1347.0</v>
      </c>
      <c r="I98" s="30" t="str">
        <f t="shared" si="1"/>
        <v>1347-GSB-042239847329100128</v>
      </c>
      <c r="J98" s="25" t="s">
        <v>346</v>
      </c>
      <c r="K98" s="25" t="s">
        <v>55</v>
      </c>
      <c r="L98" s="64">
        <v>46077.0</v>
      </c>
      <c r="M98" s="35" t="s">
        <v>60</v>
      </c>
      <c r="N98" s="2">
        <v>2735.0</v>
      </c>
      <c r="O98" s="36" t="s">
        <v>348</v>
      </c>
      <c r="P98" s="37">
        <v>46086.0</v>
      </c>
      <c r="Q98" s="38"/>
      <c r="R98" s="38"/>
      <c r="S98" s="38"/>
      <c r="T98" s="38"/>
      <c r="U98" s="38"/>
      <c r="V98" s="38"/>
    </row>
    <row r="99">
      <c r="A99" s="23">
        <v>45897.0</v>
      </c>
      <c r="B99" s="25">
        <v>2.093501849E9</v>
      </c>
      <c r="C99" s="27" t="s">
        <v>168</v>
      </c>
      <c r="D99" s="28" t="s">
        <v>6</v>
      </c>
      <c r="E99" s="27">
        <v>1.0</v>
      </c>
      <c r="F99" s="27"/>
      <c r="G99" s="27" t="s">
        <v>349</v>
      </c>
      <c r="H99" s="28">
        <v>1647.0</v>
      </c>
      <c r="I99" s="30" t="str">
        <f t="shared" si="1"/>
        <v>1647-GSB-042247244018010067</v>
      </c>
      <c r="J99" s="25" t="s">
        <v>346</v>
      </c>
      <c r="K99" s="25" t="s">
        <v>55</v>
      </c>
      <c r="L99" s="64">
        <v>46077.0</v>
      </c>
      <c r="M99" s="35" t="s">
        <v>60</v>
      </c>
      <c r="N99" s="2">
        <v>2735.0</v>
      </c>
      <c r="O99" s="36" t="s">
        <v>348</v>
      </c>
      <c r="P99" s="37">
        <v>46086.0</v>
      </c>
      <c r="Q99" s="38"/>
      <c r="R99" s="38"/>
      <c r="S99" s="38"/>
      <c r="T99" s="38"/>
      <c r="U99" s="38"/>
      <c r="V99" s="38"/>
    </row>
    <row r="100">
      <c r="A100" s="23">
        <v>45897.0</v>
      </c>
      <c r="B100" s="25">
        <v>2.093501849E9</v>
      </c>
      <c r="C100" s="27" t="s">
        <v>352</v>
      </c>
      <c r="D100" s="28" t="s">
        <v>59</v>
      </c>
      <c r="E100" s="27">
        <v>1.0</v>
      </c>
      <c r="F100" s="27"/>
      <c r="G100" s="27" t="s">
        <v>354</v>
      </c>
      <c r="H100" s="28">
        <v>6020.0</v>
      </c>
      <c r="I100" s="30" t="str">
        <f t="shared" si="1"/>
        <v>6020-GSB-042186047511100023</v>
      </c>
      <c r="J100" s="25" t="s">
        <v>346</v>
      </c>
      <c r="K100" s="25" t="s">
        <v>55</v>
      </c>
      <c r="L100" s="64">
        <v>46077.0</v>
      </c>
      <c r="M100" s="35" t="s">
        <v>60</v>
      </c>
      <c r="N100" s="2">
        <v>2735.0</v>
      </c>
      <c r="O100" s="36" t="s">
        <v>348</v>
      </c>
      <c r="P100" s="37">
        <v>46086.0</v>
      </c>
      <c r="Q100" s="38"/>
      <c r="R100" s="38"/>
      <c r="S100" s="38"/>
      <c r="T100" s="38"/>
      <c r="U100" s="38"/>
      <c r="V100" s="38"/>
    </row>
    <row r="101">
      <c r="A101" s="23">
        <v>45897.0</v>
      </c>
      <c r="B101" s="25">
        <v>2.093501849E9</v>
      </c>
      <c r="C101" s="27" t="s">
        <v>352</v>
      </c>
      <c r="D101" s="28" t="s">
        <v>59</v>
      </c>
      <c r="E101" s="27">
        <v>1.0</v>
      </c>
      <c r="F101" s="27"/>
      <c r="G101" s="27" t="s">
        <v>360</v>
      </c>
      <c r="H101" s="28">
        <v>6021.0</v>
      </c>
      <c r="I101" s="30" t="str">
        <f t="shared" si="1"/>
        <v>6021-GSB-042186047511100012</v>
      </c>
      <c r="J101" s="25" t="s">
        <v>346</v>
      </c>
      <c r="K101" s="25" t="s">
        <v>55</v>
      </c>
      <c r="L101" s="64">
        <v>46077.0</v>
      </c>
      <c r="M101" s="35" t="s">
        <v>60</v>
      </c>
      <c r="N101" s="2">
        <v>2735.0</v>
      </c>
      <c r="O101" s="36" t="s">
        <v>348</v>
      </c>
      <c r="P101" s="37">
        <v>46086.0</v>
      </c>
      <c r="Q101" s="38"/>
      <c r="R101" s="38"/>
      <c r="S101" s="38"/>
      <c r="T101" s="38"/>
      <c r="U101" s="38"/>
      <c r="V101" s="38"/>
    </row>
    <row r="102">
      <c r="A102" s="23">
        <v>45807.0</v>
      </c>
      <c r="B102" s="27" t="s">
        <v>35</v>
      </c>
      <c r="C102" s="27" t="s">
        <v>362</v>
      </c>
      <c r="D102" s="28" t="s">
        <v>54</v>
      </c>
      <c r="E102" s="27">
        <v>1.0</v>
      </c>
      <c r="F102" s="27"/>
      <c r="G102" s="27" t="s">
        <v>363</v>
      </c>
      <c r="H102" s="28">
        <v>2481.0</v>
      </c>
      <c r="I102" s="30" t="str">
        <f t="shared" si="1"/>
        <v>2481-GSB-042275253727100033</v>
      </c>
      <c r="J102" s="31" t="s">
        <v>346</v>
      </c>
      <c r="K102" s="27" t="s">
        <v>55</v>
      </c>
      <c r="L102" s="34">
        <v>46079.0</v>
      </c>
      <c r="M102" s="35" t="s">
        <v>60</v>
      </c>
      <c r="N102" s="2">
        <v>2735.0</v>
      </c>
      <c r="O102" s="36" t="s">
        <v>348</v>
      </c>
      <c r="P102" s="37">
        <v>46086.0</v>
      </c>
      <c r="Q102" s="38"/>
      <c r="R102" s="38"/>
      <c r="S102" s="38"/>
      <c r="T102" s="38"/>
      <c r="U102" s="38"/>
      <c r="V102" s="38"/>
    </row>
    <row r="103">
      <c r="A103" s="23">
        <v>46078.0</v>
      </c>
      <c r="B103" s="25" t="s">
        <v>94</v>
      </c>
      <c r="C103" s="27" t="s">
        <v>292</v>
      </c>
      <c r="D103" s="28" t="s">
        <v>365</v>
      </c>
      <c r="E103" s="25">
        <v>1.0</v>
      </c>
      <c r="F103" s="25"/>
      <c r="G103" s="25" t="s">
        <v>366</v>
      </c>
      <c r="H103" s="70">
        <v>1026456.0</v>
      </c>
      <c r="I103" s="30" t="str">
        <f t="shared" si="1"/>
        <v>1026456-GSB-042174644023100056</v>
      </c>
      <c r="J103" s="25" t="s">
        <v>346</v>
      </c>
      <c r="K103" s="25" t="s">
        <v>55</v>
      </c>
      <c r="L103" s="64">
        <v>46078.0</v>
      </c>
      <c r="M103" s="35" t="s">
        <v>60</v>
      </c>
      <c r="N103" s="2">
        <v>2735.0</v>
      </c>
      <c r="O103" s="36" t="s">
        <v>348</v>
      </c>
      <c r="P103" s="37">
        <v>46086.0</v>
      </c>
      <c r="Q103" s="38"/>
      <c r="R103" s="38"/>
      <c r="S103" s="38"/>
      <c r="T103" s="38"/>
      <c r="U103" s="38"/>
      <c r="V103" s="38"/>
    </row>
    <row r="104">
      <c r="A104" s="23">
        <v>46078.0</v>
      </c>
      <c r="B104" s="25" t="s">
        <v>94</v>
      </c>
      <c r="C104" s="27" t="s">
        <v>292</v>
      </c>
      <c r="D104" s="28" t="s">
        <v>368</v>
      </c>
      <c r="E104" s="25">
        <v>1.0</v>
      </c>
      <c r="F104" s="25"/>
      <c r="G104" s="25" t="s">
        <v>369</v>
      </c>
      <c r="H104" s="70">
        <v>5280.0</v>
      </c>
      <c r="I104" s="30" t="str">
        <f t="shared" si="1"/>
        <v>5280-GSB-042174647329100031</v>
      </c>
      <c r="J104" s="25" t="s">
        <v>346</v>
      </c>
      <c r="K104" s="25" t="s">
        <v>55</v>
      </c>
      <c r="L104" s="64">
        <v>46078.0</v>
      </c>
      <c r="M104" s="35" t="s">
        <v>60</v>
      </c>
      <c r="N104" s="2">
        <v>2735.0</v>
      </c>
      <c r="O104" s="36" t="s">
        <v>348</v>
      </c>
      <c r="P104" s="37">
        <v>46086.0</v>
      </c>
      <c r="Q104" s="38"/>
      <c r="R104" s="38"/>
      <c r="S104" s="38"/>
      <c r="T104" s="38"/>
      <c r="U104" s="38"/>
      <c r="V104" s="38"/>
    </row>
    <row r="105">
      <c r="A105" s="23">
        <v>46078.0</v>
      </c>
      <c r="B105" s="25" t="s">
        <v>94</v>
      </c>
      <c r="C105" s="27" t="s">
        <v>371</v>
      </c>
      <c r="D105" s="28" t="s">
        <v>372</v>
      </c>
      <c r="E105" s="25">
        <v>1.0</v>
      </c>
      <c r="F105" s="25"/>
      <c r="G105" s="25" t="s">
        <v>374</v>
      </c>
      <c r="H105" s="70">
        <v>1026769.0</v>
      </c>
      <c r="I105" s="30" t="str">
        <f t="shared" si="1"/>
        <v>1026769-GSB-042180247323100043</v>
      </c>
      <c r="J105" s="25" t="s">
        <v>346</v>
      </c>
      <c r="K105" s="25" t="s">
        <v>55</v>
      </c>
      <c r="L105" s="64">
        <v>46078.0</v>
      </c>
      <c r="M105" s="35" t="s">
        <v>60</v>
      </c>
      <c r="N105" s="2">
        <v>2735.0</v>
      </c>
      <c r="O105" s="36" t="s">
        <v>348</v>
      </c>
      <c r="P105" s="37">
        <v>46086.0</v>
      </c>
      <c r="Q105" s="38"/>
      <c r="R105" s="38"/>
      <c r="S105" s="38"/>
      <c r="T105" s="38"/>
      <c r="U105" s="38"/>
      <c r="V105" s="38"/>
    </row>
    <row r="106">
      <c r="A106" s="23">
        <v>46078.0</v>
      </c>
      <c r="B106" s="25" t="s">
        <v>375</v>
      </c>
      <c r="C106" s="27">
        <v>6.76544009023E11</v>
      </c>
      <c r="D106" s="28" t="s">
        <v>136</v>
      </c>
      <c r="E106" s="25">
        <v>1.0</v>
      </c>
      <c r="F106" s="25"/>
      <c r="G106" s="25" t="s">
        <v>35</v>
      </c>
      <c r="H106" s="70" t="s">
        <v>35</v>
      </c>
      <c r="I106" s="30" t="str">
        <f t="shared" si="1"/>
        <v>N/A-GSB-N/A</v>
      </c>
      <c r="J106" s="25" t="s">
        <v>346</v>
      </c>
      <c r="K106" s="25" t="s">
        <v>55</v>
      </c>
      <c r="L106" s="64">
        <v>46078.0</v>
      </c>
      <c r="M106" s="35" t="s">
        <v>60</v>
      </c>
      <c r="N106" s="2">
        <v>2735.0</v>
      </c>
      <c r="O106" s="36" t="s">
        <v>348</v>
      </c>
      <c r="P106" s="37">
        <v>46086.0</v>
      </c>
      <c r="Q106" s="38"/>
      <c r="R106" s="38"/>
      <c r="S106" s="38"/>
      <c r="T106" s="38"/>
      <c r="U106" s="38"/>
      <c r="V106" s="38"/>
    </row>
    <row r="107">
      <c r="A107" s="23">
        <v>46078.0</v>
      </c>
      <c r="B107" s="25" t="s">
        <v>375</v>
      </c>
      <c r="C107" s="27">
        <v>8.86618177071E11</v>
      </c>
      <c r="D107" s="28" t="s">
        <v>67</v>
      </c>
      <c r="E107" s="25">
        <v>1.0</v>
      </c>
      <c r="F107" s="25"/>
      <c r="G107" s="25" t="s">
        <v>35</v>
      </c>
      <c r="H107" s="70" t="s">
        <v>35</v>
      </c>
      <c r="I107" s="30" t="str">
        <f t="shared" si="1"/>
        <v>N/A-GSB-N/A</v>
      </c>
      <c r="J107" s="25" t="s">
        <v>346</v>
      </c>
      <c r="K107" s="25" t="s">
        <v>55</v>
      </c>
      <c r="L107" s="64">
        <v>46078.0</v>
      </c>
      <c r="M107" s="35" t="s">
        <v>60</v>
      </c>
      <c r="N107" s="2">
        <v>2735.0</v>
      </c>
      <c r="O107" s="36" t="s">
        <v>348</v>
      </c>
      <c r="P107" s="37">
        <v>46086.0</v>
      </c>
      <c r="Q107" s="38"/>
      <c r="R107" s="38"/>
      <c r="S107" s="38"/>
      <c r="T107" s="38"/>
      <c r="U107" s="38"/>
      <c r="V107" s="38"/>
    </row>
    <row r="108">
      <c r="A108" s="23">
        <v>46078.0</v>
      </c>
      <c r="B108" s="25" t="s">
        <v>375</v>
      </c>
      <c r="C108" s="27" t="s">
        <v>35</v>
      </c>
      <c r="D108" s="28" t="s">
        <v>31</v>
      </c>
      <c r="E108" s="25">
        <v>1.0</v>
      </c>
      <c r="F108" s="25"/>
      <c r="G108" s="25" t="s">
        <v>35</v>
      </c>
      <c r="H108" s="70" t="s">
        <v>35</v>
      </c>
      <c r="I108" s="30" t="str">
        <f t="shared" si="1"/>
        <v>N/A-GSB-N/A</v>
      </c>
      <c r="J108" s="25" t="s">
        <v>346</v>
      </c>
      <c r="K108" s="25" t="s">
        <v>55</v>
      </c>
      <c r="L108" s="64">
        <v>46078.0</v>
      </c>
      <c r="M108" s="35" t="s">
        <v>60</v>
      </c>
      <c r="N108" s="2">
        <v>2735.0</v>
      </c>
      <c r="O108" s="36" t="s">
        <v>348</v>
      </c>
      <c r="P108" s="37">
        <v>46086.0</v>
      </c>
      <c r="Q108" s="38"/>
      <c r="R108" s="38"/>
      <c r="S108" s="38"/>
      <c r="T108" s="38"/>
      <c r="U108" s="38"/>
      <c r="V108" s="38"/>
    </row>
    <row r="109">
      <c r="A109" s="23">
        <v>46078.0</v>
      </c>
      <c r="B109" s="27" t="s">
        <v>375</v>
      </c>
      <c r="C109" s="27" t="s">
        <v>35</v>
      </c>
      <c r="D109" s="28" t="s">
        <v>31</v>
      </c>
      <c r="E109" s="27">
        <v>1.0</v>
      </c>
      <c r="F109" s="27"/>
      <c r="G109" s="27" t="s">
        <v>35</v>
      </c>
      <c r="H109" s="28">
        <v>10043.0</v>
      </c>
      <c r="I109" s="30" t="str">
        <f t="shared" si="1"/>
        <v>10043-GSB-N/A</v>
      </c>
      <c r="J109" s="25" t="s">
        <v>346</v>
      </c>
      <c r="K109" s="25" t="s">
        <v>55</v>
      </c>
      <c r="L109" s="64">
        <v>46078.0</v>
      </c>
      <c r="M109" s="35" t="s">
        <v>60</v>
      </c>
      <c r="N109" s="2">
        <v>2735.0</v>
      </c>
      <c r="O109" s="36" t="s">
        <v>348</v>
      </c>
      <c r="P109" s="37">
        <v>46086.0</v>
      </c>
      <c r="Q109" s="38"/>
      <c r="R109" s="38"/>
      <c r="S109" s="38"/>
      <c r="T109" s="38"/>
      <c r="U109" s="38"/>
      <c r="V109" s="38"/>
    </row>
    <row r="110">
      <c r="A110" s="23">
        <v>46078.0</v>
      </c>
      <c r="B110" s="25" t="s">
        <v>381</v>
      </c>
      <c r="C110" s="27">
        <v>7.703240073126E12</v>
      </c>
      <c r="D110" s="28" t="s">
        <v>333</v>
      </c>
      <c r="E110" s="25">
        <v>1.0</v>
      </c>
      <c r="F110" s="25"/>
      <c r="G110" s="25" t="s">
        <v>35</v>
      </c>
      <c r="H110" s="70" t="s">
        <v>35</v>
      </c>
      <c r="I110" s="30" t="str">
        <f t="shared" si="1"/>
        <v>N/A-GSB-N/A</v>
      </c>
      <c r="J110" s="25" t="s">
        <v>346</v>
      </c>
      <c r="K110" s="25" t="s">
        <v>55</v>
      </c>
      <c r="L110" s="64">
        <v>46078.0</v>
      </c>
      <c r="M110" s="35" t="s">
        <v>60</v>
      </c>
      <c r="N110" s="2">
        <v>2735.0</v>
      </c>
      <c r="O110" s="36" t="s">
        <v>348</v>
      </c>
      <c r="P110" s="37">
        <v>46086.0</v>
      </c>
      <c r="Q110" s="38"/>
      <c r="R110" s="38"/>
      <c r="S110" s="38"/>
      <c r="T110" s="38"/>
      <c r="U110" s="38"/>
      <c r="V110" s="38"/>
    </row>
    <row r="111">
      <c r="A111" s="23">
        <v>45897.0</v>
      </c>
      <c r="B111" s="25">
        <v>2.093501849E9</v>
      </c>
      <c r="C111" s="27" t="s">
        <v>342</v>
      </c>
      <c r="D111" s="28" t="s">
        <v>51</v>
      </c>
      <c r="E111" s="27">
        <v>1.0</v>
      </c>
      <c r="F111" s="27"/>
      <c r="G111" s="27" t="s">
        <v>383</v>
      </c>
      <c r="H111" s="28">
        <v>1355.0</v>
      </c>
      <c r="I111" s="30" t="str">
        <f t="shared" si="1"/>
        <v>1355-GSB-042239847329100101</v>
      </c>
      <c r="J111" s="25" t="s">
        <v>385</v>
      </c>
      <c r="K111" s="25" t="s">
        <v>55</v>
      </c>
      <c r="L111" s="64">
        <v>46077.0</v>
      </c>
      <c r="M111" s="35" t="s">
        <v>60</v>
      </c>
      <c r="N111" s="2">
        <v>2730.0</v>
      </c>
      <c r="O111" s="36" t="s">
        <v>386</v>
      </c>
      <c r="P111" s="37">
        <v>46080.0</v>
      </c>
      <c r="Q111" s="38"/>
      <c r="R111" s="38"/>
      <c r="S111" s="38"/>
      <c r="T111" s="38"/>
      <c r="U111" s="38"/>
      <c r="V111" s="38"/>
    </row>
    <row r="112">
      <c r="A112" s="23">
        <v>45897.0</v>
      </c>
      <c r="B112" s="25">
        <v>2.093501849E9</v>
      </c>
      <c r="C112" s="27" t="s">
        <v>168</v>
      </c>
      <c r="D112" s="28" t="s">
        <v>6</v>
      </c>
      <c r="E112" s="27">
        <v>1.0</v>
      </c>
      <c r="F112" s="27"/>
      <c r="G112" s="27" t="s">
        <v>387</v>
      </c>
      <c r="H112" s="28">
        <v>1651.0</v>
      </c>
      <c r="I112" s="30" t="str">
        <f t="shared" si="1"/>
        <v>1651-GSB-042247244018010043</v>
      </c>
      <c r="J112" s="25" t="s">
        <v>385</v>
      </c>
      <c r="K112" s="25" t="s">
        <v>55</v>
      </c>
      <c r="L112" s="64">
        <v>46077.0</v>
      </c>
      <c r="M112" s="35" t="s">
        <v>60</v>
      </c>
      <c r="N112" s="2">
        <v>2730.0</v>
      </c>
      <c r="O112" s="36" t="s">
        <v>386</v>
      </c>
      <c r="P112" s="37">
        <v>46080.0</v>
      </c>
      <c r="Q112" s="38"/>
      <c r="R112" s="38"/>
      <c r="S112" s="38"/>
      <c r="T112" s="38"/>
      <c r="U112" s="38"/>
      <c r="V112" s="38"/>
    </row>
    <row r="113">
      <c r="A113" s="23">
        <v>45897.0</v>
      </c>
      <c r="B113" s="25">
        <v>2.093501849E9</v>
      </c>
      <c r="C113" s="27" t="s">
        <v>352</v>
      </c>
      <c r="D113" s="28" t="s">
        <v>59</v>
      </c>
      <c r="E113" s="27">
        <v>1.0</v>
      </c>
      <c r="F113" s="27"/>
      <c r="G113" s="27" t="s">
        <v>389</v>
      </c>
      <c r="H113" s="28">
        <v>4310.0</v>
      </c>
      <c r="I113" s="30" t="str">
        <f t="shared" si="1"/>
        <v>4310-GSB-042186047630100017</v>
      </c>
      <c r="J113" s="25" t="s">
        <v>385</v>
      </c>
      <c r="K113" s="25" t="s">
        <v>55</v>
      </c>
      <c r="L113" s="64">
        <v>46077.0</v>
      </c>
      <c r="M113" s="35" t="s">
        <v>60</v>
      </c>
      <c r="N113" s="2">
        <v>2730.0</v>
      </c>
      <c r="O113" s="36" t="s">
        <v>386</v>
      </c>
      <c r="P113" s="37">
        <v>46080.0</v>
      </c>
      <c r="Q113" s="38"/>
      <c r="R113" s="38"/>
      <c r="S113" s="38"/>
      <c r="T113" s="38"/>
      <c r="U113" s="38"/>
      <c r="V113" s="38"/>
    </row>
    <row r="114">
      <c r="A114" s="23">
        <v>45897.0</v>
      </c>
      <c r="B114" s="25">
        <v>2.093501849E9</v>
      </c>
      <c r="C114" s="27" t="s">
        <v>352</v>
      </c>
      <c r="D114" s="28" t="s">
        <v>59</v>
      </c>
      <c r="E114" s="27">
        <v>1.0</v>
      </c>
      <c r="F114" s="27"/>
      <c r="G114" s="27" t="s">
        <v>391</v>
      </c>
      <c r="H114" s="28">
        <v>1254.0</v>
      </c>
      <c r="I114" s="30" t="str">
        <f t="shared" si="1"/>
        <v>1254-GSB-042186047511100056</v>
      </c>
      <c r="J114" s="25" t="s">
        <v>385</v>
      </c>
      <c r="K114" s="25" t="s">
        <v>55</v>
      </c>
      <c r="L114" s="64">
        <v>46077.0</v>
      </c>
      <c r="M114" s="35" t="s">
        <v>60</v>
      </c>
      <c r="N114" s="2">
        <v>2730.0</v>
      </c>
      <c r="O114" s="36" t="s">
        <v>386</v>
      </c>
      <c r="P114" s="37">
        <v>46080.0</v>
      </c>
      <c r="Q114" s="38"/>
      <c r="R114" s="38"/>
      <c r="S114" s="38"/>
      <c r="T114" s="38"/>
      <c r="U114" s="38"/>
      <c r="V114" s="38"/>
    </row>
    <row r="115">
      <c r="A115" s="23">
        <v>46078.0</v>
      </c>
      <c r="B115" s="25" t="s">
        <v>94</v>
      </c>
      <c r="C115" s="27" t="s">
        <v>292</v>
      </c>
      <c r="D115" s="28" t="s">
        <v>393</v>
      </c>
      <c r="E115" s="27">
        <v>1.0</v>
      </c>
      <c r="F115" s="27"/>
      <c r="G115" s="27" t="s">
        <v>394</v>
      </c>
      <c r="H115" s="28">
        <v>5302.0</v>
      </c>
      <c r="I115" s="30" t="str">
        <f t="shared" si="1"/>
        <v>5302-GSB-042174647413100056</v>
      </c>
      <c r="J115" s="25" t="s">
        <v>385</v>
      </c>
      <c r="K115" s="25" t="s">
        <v>55</v>
      </c>
      <c r="L115" s="64">
        <v>46078.0</v>
      </c>
      <c r="M115" s="35" t="s">
        <v>60</v>
      </c>
      <c r="N115" s="2">
        <v>2730.0</v>
      </c>
      <c r="O115" s="36" t="s">
        <v>386</v>
      </c>
      <c r="P115" s="37">
        <v>46080.0</v>
      </c>
      <c r="Q115" s="38"/>
      <c r="R115" s="38"/>
      <c r="S115" s="38"/>
      <c r="T115" s="38"/>
      <c r="U115" s="38"/>
      <c r="V115" s="38"/>
    </row>
    <row r="116">
      <c r="A116" s="23">
        <v>46078.0</v>
      </c>
      <c r="B116" s="25" t="s">
        <v>94</v>
      </c>
      <c r="C116" s="27" t="s">
        <v>292</v>
      </c>
      <c r="D116" s="28" t="s">
        <v>396</v>
      </c>
      <c r="E116" s="27">
        <v>1.0</v>
      </c>
      <c r="F116" s="27"/>
      <c r="G116" s="27" t="s">
        <v>398</v>
      </c>
      <c r="H116" s="28">
        <v>5914.0</v>
      </c>
      <c r="I116" s="30" t="str">
        <f t="shared" si="1"/>
        <v>5914-GSB-042174653720100012</v>
      </c>
      <c r="J116" s="25" t="s">
        <v>385</v>
      </c>
      <c r="K116" s="25" t="s">
        <v>55</v>
      </c>
      <c r="L116" s="64">
        <v>46078.0</v>
      </c>
      <c r="M116" s="35" t="s">
        <v>60</v>
      </c>
      <c r="N116" s="2">
        <v>2730.0</v>
      </c>
      <c r="O116" s="36" t="s">
        <v>386</v>
      </c>
      <c r="P116" s="37">
        <v>46080.0</v>
      </c>
      <c r="Q116" s="38"/>
      <c r="R116" s="38"/>
      <c r="S116" s="38"/>
      <c r="T116" s="38"/>
      <c r="U116" s="38"/>
      <c r="V116" s="38"/>
    </row>
    <row r="117">
      <c r="A117" s="23">
        <v>46078.0</v>
      </c>
      <c r="B117" s="25" t="s">
        <v>94</v>
      </c>
      <c r="C117" s="27" t="s">
        <v>371</v>
      </c>
      <c r="D117" s="28" t="s">
        <v>372</v>
      </c>
      <c r="E117" s="27">
        <v>1.0</v>
      </c>
      <c r="F117" s="27"/>
      <c r="G117" s="27" t="s">
        <v>400</v>
      </c>
      <c r="H117" s="28">
        <v>1026758.0</v>
      </c>
      <c r="I117" s="30" t="str">
        <f t="shared" si="1"/>
        <v>1026758-GSB-042180247323100004</v>
      </c>
      <c r="J117" s="25" t="s">
        <v>385</v>
      </c>
      <c r="K117" s="25" t="s">
        <v>55</v>
      </c>
      <c r="L117" s="64">
        <v>46078.0</v>
      </c>
      <c r="M117" s="35" t="s">
        <v>60</v>
      </c>
      <c r="N117" s="2">
        <v>2730.0</v>
      </c>
      <c r="O117" s="36" t="s">
        <v>386</v>
      </c>
      <c r="P117" s="37">
        <v>46080.0</v>
      </c>
      <c r="Q117" s="38"/>
      <c r="R117" s="38"/>
      <c r="S117" s="38"/>
      <c r="T117" s="38"/>
      <c r="U117" s="38"/>
      <c r="V117" s="38"/>
    </row>
    <row r="118">
      <c r="A118" s="23">
        <v>46078.0</v>
      </c>
      <c r="B118" s="25" t="s">
        <v>375</v>
      </c>
      <c r="C118" s="27">
        <v>6.76544009023E11</v>
      </c>
      <c r="D118" s="28" t="s">
        <v>136</v>
      </c>
      <c r="E118" s="27">
        <v>1.0</v>
      </c>
      <c r="F118" s="27"/>
      <c r="G118" s="27" t="s">
        <v>35</v>
      </c>
      <c r="H118" s="28" t="s">
        <v>35</v>
      </c>
      <c r="I118" s="30" t="str">
        <f t="shared" si="1"/>
        <v>N/A-GSB-N/A</v>
      </c>
      <c r="J118" s="25" t="s">
        <v>385</v>
      </c>
      <c r="K118" s="25" t="s">
        <v>55</v>
      </c>
      <c r="L118" s="64">
        <v>46078.0</v>
      </c>
      <c r="M118" s="35" t="s">
        <v>60</v>
      </c>
      <c r="N118" s="2">
        <v>2730.0</v>
      </c>
      <c r="O118" s="36" t="s">
        <v>386</v>
      </c>
      <c r="P118" s="37">
        <v>46080.0</v>
      </c>
      <c r="Q118" s="38"/>
      <c r="R118" s="38"/>
      <c r="S118" s="38"/>
      <c r="T118" s="38"/>
      <c r="U118" s="38"/>
      <c r="V118" s="38"/>
    </row>
    <row r="119">
      <c r="A119" s="23">
        <v>46078.0</v>
      </c>
      <c r="B119" s="25" t="s">
        <v>375</v>
      </c>
      <c r="C119" s="27">
        <v>8.86618177071E11</v>
      </c>
      <c r="D119" s="28" t="s">
        <v>67</v>
      </c>
      <c r="E119" s="27">
        <v>1.0</v>
      </c>
      <c r="F119" s="27"/>
      <c r="G119" s="27" t="s">
        <v>35</v>
      </c>
      <c r="H119" s="28" t="s">
        <v>35</v>
      </c>
      <c r="I119" s="30" t="str">
        <f t="shared" si="1"/>
        <v>N/A-GSB-N/A</v>
      </c>
      <c r="J119" s="25" t="s">
        <v>385</v>
      </c>
      <c r="K119" s="25" t="s">
        <v>55</v>
      </c>
      <c r="L119" s="64">
        <v>46078.0</v>
      </c>
      <c r="M119" s="35" t="s">
        <v>60</v>
      </c>
      <c r="N119" s="2">
        <v>2730.0</v>
      </c>
      <c r="O119" s="36" t="s">
        <v>386</v>
      </c>
      <c r="P119" s="37">
        <v>46080.0</v>
      </c>
      <c r="Q119" s="38"/>
      <c r="R119" s="38"/>
      <c r="S119" s="38"/>
      <c r="T119" s="38"/>
      <c r="U119" s="38"/>
      <c r="V119" s="38"/>
    </row>
    <row r="120">
      <c r="A120" s="23">
        <v>46078.0</v>
      </c>
      <c r="B120" s="25" t="s">
        <v>375</v>
      </c>
      <c r="C120" s="27">
        <v>8.86618177071E11</v>
      </c>
      <c r="D120" s="28" t="s">
        <v>67</v>
      </c>
      <c r="E120" s="27">
        <v>1.0</v>
      </c>
      <c r="F120" s="27"/>
      <c r="G120" s="27" t="s">
        <v>35</v>
      </c>
      <c r="H120" s="28" t="s">
        <v>35</v>
      </c>
      <c r="I120" s="30" t="str">
        <f t="shared" si="1"/>
        <v>N/A-GSB-N/A</v>
      </c>
      <c r="J120" s="25" t="s">
        <v>385</v>
      </c>
      <c r="K120" s="25" t="s">
        <v>55</v>
      </c>
      <c r="L120" s="64">
        <v>46078.0</v>
      </c>
      <c r="M120" s="35" t="s">
        <v>60</v>
      </c>
      <c r="N120" s="2">
        <v>2730.0</v>
      </c>
      <c r="O120" s="36" t="s">
        <v>386</v>
      </c>
      <c r="P120" s="37">
        <v>46080.0</v>
      </c>
      <c r="Q120" s="38"/>
      <c r="R120" s="38"/>
      <c r="S120" s="38"/>
      <c r="T120" s="38"/>
      <c r="U120" s="38"/>
      <c r="V120" s="38"/>
    </row>
    <row r="121">
      <c r="A121" s="23">
        <v>46078.0</v>
      </c>
      <c r="B121" s="25" t="s">
        <v>375</v>
      </c>
      <c r="C121" s="27" t="s">
        <v>35</v>
      </c>
      <c r="D121" s="28" t="s">
        <v>31</v>
      </c>
      <c r="E121" s="27">
        <v>1.0</v>
      </c>
      <c r="F121" s="27"/>
      <c r="G121" s="27" t="s">
        <v>35</v>
      </c>
      <c r="H121" s="28" t="s">
        <v>35</v>
      </c>
      <c r="I121" s="30" t="str">
        <f t="shared" si="1"/>
        <v>N/A-GSB-N/A</v>
      </c>
      <c r="J121" s="25" t="s">
        <v>385</v>
      </c>
      <c r="K121" s="25" t="s">
        <v>55</v>
      </c>
      <c r="L121" s="64">
        <v>46078.0</v>
      </c>
      <c r="M121" s="35" t="s">
        <v>60</v>
      </c>
      <c r="N121" s="2">
        <v>2730.0</v>
      </c>
      <c r="O121" s="36" t="s">
        <v>386</v>
      </c>
      <c r="P121" s="37">
        <v>46080.0</v>
      </c>
      <c r="Q121" s="38"/>
      <c r="R121" s="38"/>
      <c r="S121" s="38"/>
      <c r="T121" s="38"/>
      <c r="U121" s="38"/>
      <c r="V121" s="38"/>
    </row>
    <row r="122">
      <c r="A122" s="23">
        <v>46078.0</v>
      </c>
      <c r="B122" s="25" t="s">
        <v>381</v>
      </c>
      <c r="C122" s="27">
        <v>7.703240073126E12</v>
      </c>
      <c r="D122" s="28" t="s">
        <v>333</v>
      </c>
      <c r="E122" s="27">
        <v>1.0</v>
      </c>
      <c r="F122" s="27"/>
      <c r="G122" s="27" t="s">
        <v>35</v>
      </c>
      <c r="H122" s="28" t="s">
        <v>35</v>
      </c>
      <c r="I122" s="30" t="str">
        <f t="shared" si="1"/>
        <v>N/A-GSB-N/A</v>
      </c>
      <c r="J122" s="25" t="s">
        <v>385</v>
      </c>
      <c r="K122" s="25" t="s">
        <v>55</v>
      </c>
      <c r="L122" s="64">
        <v>46078.0</v>
      </c>
      <c r="M122" s="35" t="s">
        <v>60</v>
      </c>
      <c r="N122" s="2">
        <v>2730.0</v>
      </c>
      <c r="O122" s="36" t="s">
        <v>386</v>
      </c>
      <c r="P122" s="37">
        <v>46080.0</v>
      </c>
      <c r="Q122" s="38"/>
      <c r="R122" s="38"/>
      <c r="S122" s="38"/>
      <c r="T122" s="38"/>
      <c r="U122" s="38"/>
      <c r="V122" s="38"/>
    </row>
    <row r="123">
      <c r="A123" s="23">
        <v>45897.0</v>
      </c>
      <c r="B123" s="25">
        <v>2.093501849E9</v>
      </c>
      <c r="C123" s="27" t="s">
        <v>40</v>
      </c>
      <c r="D123" s="28" t="s">
        <v>8</v>
      </c>
      <c r="E123" s="27">
        <v>1.0</v>
      </c>
      <c r="F123" s="27"/>
      <c r="G123" s="27" t="s">
        <v>403</v>
      </c>
      <c r="H123" s="28">
        <v>5977.0</v>
      </c>
      <c r="I123" s="30" t="str">
        <f t="shared" si="1"/>
        <v>5977-GSB-042257948004020015</v>
      </c>
      <c r="J123" s="31" t="s">
        <v>404</v>
      </c>
      <c r="K123" s="27" t="s">
        <v>152</v>
      </c>
      <c r="L123" s="34">
        <v>46078.0</v>
      </c>
      <c r="M123" s="35" t="s">
        <v>60</v>
      </c>
      <c r="N123" s="2">
        <v>2619.0</v>
      </c>
      <c r="O123" s="36" t="s">
        <v>405</v>
      </c>
      <c r="P123" s="37">
        <v>46086.0</v>
      </c>
      <c r="Q123" s="38"/>
      <c r="R123" s="38"/>
      <c r="S123" s="38"/>
      <c r="T123" s="38"/>
      <c r="U123" s="38"/>
      <c r="V123" s="38"/>
    </row>
    <row r="124">
      <c r="A124" s="23">
        <v>45897.0</v>
      </c>
      <c r="B124" s="25">
        <v>2.093501849E9</v>
      </c>
      <c r="C124" s="27" t="s">
        <v>40</v>
      </c>
      <c r="D124" s="28" t="s">
        <v>8</v>
      </c>
      <c r="E124" s="27">
        <v>1.0</v>
      </c>
      <c r="F124" s="27"/>
      <c r="G124" s="27" t="s">
        <v>406</v>
      </c>
      <c r="H124" s="28">
        <v>6758.0</v>
      </c>
      <c r="I124" s="30" t="str">
        <f t="shared" si="1"/>
        <v>6758-GSB-042257953910020112</v>
      </c>
      <c r="J124" s="31" t="s">
        <v>404</v>
      </c>
      <c r="K124" s="27" t="s">
        <v>152</v>
      </c>
      <c r="L124" s="34">
        <v>46078.0</v>
      </c>
      <c r="M124" s="35" t="s">
        <v>60</v>
      </c>
      <c r="N124" s="2">
        <v>2623.0</v>
      </c>
      <c r="O124" s="36" t="s">
        <v>407</v>
      </c>
      <c r="P124" s="37">
        <v>46092.0</v>
      </c>
      <c r="Q124" s="38"/>
      <c r="R124" s="38"/>
      <c r="S124" s="38"/>
      <c r="T124" s="38"/>
      <c r="U124" s="38"/>
      <c r="V124" s="38"/>
    </row>
    <row r="125">
      <c r="A125" s="23">
        <v>46053.0</v>
      </c>
      <c r="B125" s="25" t="s">
        <v>35</v>
      </c>
      <c r="C125" s="27" t="s">
        <v>35</v>
      </c>
      <c r="D125" s="28" t="s">
        <v>64</v>
      </c>
      <c r="E125" s="27">
        <v>1.0</v>
      </c>
      <c r="F125" s="27"/>
      <c r="G125" s="27" t="s">
        <v>35</v>
      </c>
      <c r="H125" s="28">
        <v>9082.0</v>
      </c>
      <c r="I125" s="30" t="str">
        <f t="shared" si="1"/>
        <v>9082-GSB-N/A</v>
      </c>
      <c r="J125" s="31" t="s">
        <v>404</v>
      </c>
      <c r="K125" s="27" t="s">
        <v>152</v>
      </c>
      <c r="L125" s="34">
        <v>46078.0</v>
      </c>
      <c r="M125" s="35" t="s">
        <v>60</v>
      </c>
      <c r="N125" s="2">
        <v>2619.0</v>
      </c>
      <c r="O125" s="36" t="s">
        <v>405</v>
      </c>
      <c r="P125" s="37">
        <v>46086.0</v>
      </c>
      <c r="Q125" s="38"/>
      <c r="R125" s="38"/>
      <c r="S125" s="38"/>
      <c r="T125" s="38"/>
      <c r="U125" s="38"/>
      <c r="V125" s="38"/>
    </row>
    <row r="126">
      <c r="A126" s="23">
        <v>45897.0</v>
      </c>
      <c r="B126" s="25">
        <v>2.093501849E9</v>
      </c>
      <c r="C126" s="27" t="s">
        <v>71</v>
      </c>
      <c r="D126" s="28" t="s">
        <v>50</v>
      </c>
      <c r="E126" s="27">
        <v>1.0</v>
      </c>
      <c r="F126" s="27"/>
      <c r="G126" s="27" t="s">
        <v>409</v>
      </c>
      <c r="H126" s="28">
        <v>2447.0</v>
      </c>
      <c r="I126" s="30" t="str">
        <f t="shared" si="1"/>
        <v>2447-GSB-042163653706100232</v>
      </c>
      <c r="J126" s="31" t="s">
        <v>404</v>
      </c>
      <c r="K126" s="27" t="s">
        <v>152</v>
      </c>
      <c r="L126" s="34">
        <v>46078.0</v>
      </c>
      <c r="M126" s="35" t="s">
        <v>60</v>
      </c>
      <c r="N126" s="2">
        <v>2641.0</v>
      </c>
      <c r="O126" s="36" t="s">
        <v>410</v>
      </c>
      <c r="P126" s="37">
        <v>46121.0</v>
      </c>
      <c r="Q126" s="38"/>
      <c r="R126" s="38"/>
      <c r="S126" s="38"/>
      <c r="T126" s="38"/>
      <c r="U126" s="38"/>
      <c r="V126" s="38"/>
    </row>
    <row r="127">
      <c r="A127" s="23">
        <v>45897.0</v>
      </c>
      <c r="B127" s="25">
        <v>2.093501849E9</v>
      </c>
      <c r="C127" s="27" t="s">
        <v>71</v>
      </c>
      <c r="D127" s="28" t="s">
        <v>50</v>
      </c>
      <c r="E127" s="27">
        <v>1.0</v>
      </c>
      <c r="F127" s="27"/>
      <c r="G127" s="27" t="s">
        <v>411</v>
      </c>
      <c r="H127" s="28">
        <v>2472.0</v>
      </c>
      <c r="I127" s="30" t="str">
        <f t="shared" si="1"/>
        <v>2472-GSB-042163653706100230</v>
      </c>
      <c r="J127" s="31" t="s">
        <v>404</v>
      </c>
      <c r="K127" s="27" t="s">
        <v>152</v>
      </c>
      <c r="L127" s="34">
        <v>46078.0</v>
      </c>
      <c r="M127" s="35" t="s">
        <v>60</v>
      </c>
      <c r="N127" s="2">
        <v>2619.0</v>
      </c>
      <c r="O127" s="36" t="s">
        <v>412</v>
      </c>
      <c r="P127" s="37">
        <v>46086.0</v>
      </c>
      <c r="Q127" s="38"/>
      <c r="R127" s="38"/>
      <c r="S127" s="38"/>
      <c r="T127" s="38"/>
      <c r="U127" s="38"/>
      <c r="V127" s="38"/>
    </row>
    <row r="128">
      <c r="A128" s="23">
        <v>46078.0</v>
      </c>
      <c r="B128" s="25" t="s">
        <v>375</v>
      </c>
      <c r="C128" s="27">
        <v>6.76544009023E11</v>
      </c>
      <c r="D128" s="28" t="s">
        <v>136</v>
      </c>
      <c r="E128" s="27">
        <v>1.0</v>
      </c>
      <c r="F128" s="27"/>
      <c r="G128" s="27" t="s">
        <v>35</v>
      </c>
      <c r="H128" s="28" t="s">
        <v>35</v>
      </c>
      <c r="I128" s="30" t="str">
        <f t="shared" si="1"/>
        <v>N/A-GSB-N/A</v>
      </c>
      <c r="J128" s="31" t="s">
        <v>404</v>
      </c>
      <c r="K128" s="27" t="s">
        <v>152</v>
      </c>
      <c r="L128" s="34">
        <v>46078.0</v>
      </c>
      <c r="M128" s="35" t="s">
        <v>60</v>
      </c>
      <c r="N128" s="2">
        <v>2619.0</v>
      </c>
      <c r="O128" s="36" t="s">
        <v>412</v>
      </c>
      <c r="P128" s="37">
        <v>46086.0</v>
      </c>
      <c r="Q128" s="38"/>
      <c r="R128" s="38"/>
      <c r="S128" s="38"/>
      <c r="T128" s="38"/>
      <c r="U128" s="38"/>
      <c r="V128" s="38"/>
    </row>
    <row r="129">
      <c r="A129" s="23">
        <v>46078.0</v>
      </c>
      <c r="B129" s="25" t="s">
        <v>375</v>
      </c>
      <c r="C129" s="27" t="s">
        <v>35</v>
      </c>
      <c r="D129" s="28" t="s">
        <v>31</v>
      </c>
      <c r="E129" s="27">
        <v>1.0</v>
      </c>
      <c r="F129" s="27"/>
      <c r="G129" s="27" t="s">
        <v>35</v>
      </c>
      <c r="H129" s="28" t="s">
        <v>35</v>
      </c>
      <c r="I129" s="30" t="str">
        <f t="shared" si="1"/>
        <v>N/A-GSB-N/A</v>
      </c>
      <c r="J129" s="31" t="s">
        <v>404</v>
      </c>
      <c r="K129" s="27" t="s">
        <v>152</v>
      </c>
      <c r="L129" s="34">
        <v>46078.0</v>
      </c>
      <c r="M129" s="35" t="s">
        <v>60</v>
      </c>
      <c r="N129" s="2">
        <v>2619.0</v>
      </c>
      <c r="O129" s="36" t="s">
        <v>412</v>
      </c>
      <c r="P129" s="37">
        <v>46086.0</v>
      </c>
      <c r="Q129" s="38"/>
      <c r="R129" s="38"/>
      <c r="S129" s="38"/>
      <c r="T129" s="38"/>
      <c r="U129" s="38"/>
      <c r="V129" s="38"/>
    </row>
    <row r="130">
      <c r="A130" s="23">
        <v>46078.0</v>
      </c>
      <c r="B130" s="25" t="s">
        <v>381</v>
      </c>
      <c r="C130" s="27">
        <v>7.703240073126E12</v>
      </c>
      <c r="D130" s="28" t="s">
        <v>333</v>
      </c>
      <c r="E130" s="27">
        <v>1.0</v>
      </c>
      <c r="F130" s="27"/>
      <c r="G130" s="27" t="s">
        <v>35</v>
      </c>
      <c r="H130" s="28" t="s">
        <v>35</v>
      </c>
      <c r="I130" s="30" t="str">
        <f t="shared" si="1"/>
        <v>N/A-GSB-N/A</v>
      </c>
      <c r="J130" s="31" t="s">
        <v>404</v>
      </c>
      <c r="K130" s="27" t="s">
        <v>152</v>
      </c>
      <c r="L130" s="34">
        <v>46078.0</v>
      </c>
      <c r="M130" s="35" t="s">
        <v>60</v>
      </c>
      <c r="N130" s="2">
        <v>2616.0</v>
      </c>
      <c r="O130" s="36" t="s">
        <v>155</v>
      </c>
      <c r="P130" s="37">
        <v>46086.0</v>
      </c>
      <c r="Q130" s="38"/>
      <c r="R130" s="38"/>
      <c r="S130" s="38"/>
      <c r="T130" s="38"/>
      <c r="U130" s="38"/>
      <c r="V130" s="38"/>
    </row>
    <row r="131">
      <c r="A131" s="71">
        <v>45530.60907740741</v>
      </c>
      <c r="B131" s="27" t="s">
        <v>35</v>
      </c>
      <c r="C131" s="27" t="s">
        <v>35</v>
      </c>
      <c r="D131" s="28" t="s">
        <v>422</v>
      </c>
      <c r="E131" s="27">
        <v>1.0</v>
      </c>
      <c r="F131" s="27"/>
      <c r="G131" s="27">
        <v>1028143.0</v>
      </c>
      <c r="H131" s="28">
        <v>2048.0</v>
      </c>
      <c r="I131" s="30" t="str">
        <f t="shared" si="1"/>
        <v>2048-GSB-1028143</v>
      </c>
      <c r="J131" s="31" t="s">
        <v>423</v>
      </c>
      <c r="K131" s="27" t="s">
        <v>152</v>
      </c>
      <c r="L131" s="34">
        <v>46078.0</v>
      </c>
      <c r="M131" s="35" t="s">
        <v>60</v>
      </c>
      <c r="N131" s="2">
        <v>2619.0</v>
      </c>
      <c r="O131" s="36" t="s">
        <v>405</v>
      </c>
      <c r="P131" s="37">
        <v>46086.0</v>
      </c>
      <c r="Q131" s="38"/>
      <c r="R131" s="38"/>
      <c r="S131" s="38"/>
      <c r="T131" s="38"/>
      <c r="U131" s="38"/>
      <c r="V131" s="38"/>
    </row>
    <row r="132">
      <c r="A132" s="23">
        <v>45897.0</v>
      </c>
      <c r="B132" s="25">
        <v>2.093501849E9</v>
      </c>
      <c r="C132" s="27" t="s">
        <v>148</v>
      </c>
      <c r="D132" s="28" t="s">
        <v>4</v>
      </c>
      <c r="E132" s="27">
        <v>1.0</v>
      </c>
      <c r="F132" s="27"/>
      <c r="G132" s="27" t="s">
        <v>35</v>
      </c>
      <c r="H132" s="28">
        <v>6815.0</v>
      </c>
      <c r="I132" s="30" t="str">
        <f t="shared" si="1"/>
        <v>6815-GSB-N/A</v>
      </c>
      <c r="J132" s="31" t="s">
        <v>430</v>
      </c>
      <c r="K132" s="27" t="s">
        <v>270</v>
      </c>
      <c r="L132" s="34">
        <v>46080.0</v>
      </c>
      <c r="M132" s="35" t="s">
        <v>60</v>
      </c>
      <c r="N132" s="2">
        <v>2782.0</v>
      </c>
      <c r="O132" s="36" t="s">
        <v>431</v>
      </c>
      <c r="P132" s="37">
        <v>46092.0</v>
      </c>
      <c r="Q132" s="38"/>
      <c r="R132" s="38"/>
      <c r="S132" s="38"/>
      <c r="T132" s="38"/>
      <c r="U132" s="38"/>
      <c r="V132" s="38"/>
    </row>
    <row r="133">
      <c r="A133" s="23">
        <v>45897.0</v>
      </c>
      <c r="B133" s="25">
        <v>2.093501849E9</v>
      </c>
      <c r="C133" s="27">
        <v>4.998117557E9</v>
      </c>
      <c r="D133" s="28" t="s">
        <v>5</v>
      </c>
      <c r="E133" s="27">
        <v>1.0</v>
      </c>
      <c r="F133" s="27"/>
      <c r="G133" s="27" t="s">
        <v>434</v>
      </c>
      <c r="H133" s="28">
        <v>6001.0</v>
      </c>
      <c r="I133" s="30" t="str">
        <f t="shared" si="1"/>
        <v>6001-GSB-092256847892120280</v>
      </c>
      <c r="J133" s="31" t="s">
        <v>430</v>
      </c>
      <c r="K133" s="27" t="s">
        <v>270</v>
      </c>
      <c r="L133" s="34">
        <v>46080.0</v>
      </c>
      <c r="M133" s="35" t="s">
        <v>60</v>
      </c>
      <c r="N133" s="2">
        <v>2785.0</v>
      </c>
      <c r="O133" s="36" t="s">
        <v>435</v>
      </c>
      <c r="P133" s="37">
        <v>46094.0</v>
      </c>
      <c r="Q133" s="38"/>
      <c r="R133" s="38"/>
      <c r="S133" s="38"/>
      <c r="T133" s="38"/>
      <c r="U133" s="38"/>
      <c r="V133" s="38"/>
    </row>
    <row r="134">
      <c r="A134" s="23">
        <v>45897.0</v>
      </c>
      <c r="B134" s="25">
        <v>2.093501849E9</v>
      </c>
      <c r="C134" s="27">
        <v>4.998117557E9</v>
      </c>
      <c r="D134" s="28" t="s">
        <v>5</v>
      </c>
      <c r="E134" s="27">
        <v>1.0</v>
      </c>
      <c r="F134" s="27"/>
      <c r="G134" s="27" t="s">
        <v>437</v>
      </c>
      <c r="H134" s="28">
        <v>9072.0</v>
      </c>
      <c r="I134" s="30" t="str">
        <f t="shared" si="1"/>
        <v>9072-GSB-092256847706150180</v>
      </c>
      <c r="J134" s="31" t="s">
        <v>430</v>
      </c>
      <c r="K134" s="27" t="s">
        <v>270</v>
      </c>
      <c r="L134" s="34">
        <v>46080.0</v>
      </c>
      <c r="M134" s="35" t="s">
        <v>60</v>
      </c>
      <c r="N134" s="53"/>
      <c r="O134" s="53"/>
      <c r="P134" s="53"/>
      <c r="Q134" s="38"/>
      <c r="R134" s="38"/>
      <c r="S134" s="38"/>
      <c r="T134" s="38"/>
      <c r="U134" s="38"/>
      <c r="V134" s="38"/>
    </row>
    <row r="135">
      <c r="A135" s="23">
        <v>45897.0</v>
      </c>
      <c r="B135" s="25">
        <v>2.093501849E9</v>
      </c>
      <c r="C135" s="27" t="s">
        <v>108</v>
      </c>
      <c r="D135" s="28" t="s">
        <v>43</v>
      </c>
      <c r="E135" s="27">
        <v>1.0</v>
      </c>
      <c r="F135" s="27"/>
      <c r="G135" s="27">
        <v>2.0240007484E11</v>
      </c>
      <c r="H135" s="28">
        <v>6607.0</v>
      </c>
      <c r="I135" s="30" t="str">
        <f t="shared" si="1"/>
        <v>6607-GSB-202400074840</v>
      </c>
      <c r="J135" s="31" t="s">
        <v>430</v>
      </c>
      <c r="K135" s="27" t="s">
        <v>270</v>
      </c>
      <c r="L135" s="34">
        <v>46080.0</v>
      </c>
      <c r="M135" s="35" t="s">
        <v>60</v>
      </c>
      <c r="N135" s="73">
        <v>3270.0</v>
      </c>
      <c r="O135" s="73" t="s">
        <v>440</v>
      </c>
      <c r="P135" s="74">
        <v>46253.0</v>
      </c>
      <c r="Q135" s="38"/>
      <c r="R135" s="38"/>
      <c r="S135" s="38"/>
      <c r="T135" s="38"/>
      <c r="U135" s="38"/>
      <c r="V135" s="38"/>
    </row>
    <row r="136">
      <c r="A136" s="23">
        <v>45897.0</v>
      </c>
      <c r="B136" s="25">
        <v>2.093501849E9</v>
      </c>
      <c r="C136" s="27" t="s">
        <v>40</v>
      </c>
      <c r="D136" s="28" t="s">
        <v>8</v>
      </c>
      <c r="E136" s="27">
        <v>1.0</v>
      </c>
      <c r="F136" s="27"/>
      <c r="G136" s="27" t="s">
        <v>441</v>
      </c>
      <c r="H136" s="28">
        <v>6757.0</v>
      </c>
      <c r="I136" s="30" t="str">
        <f t="shared" si="1"/>
        <v>6757-GSB-042257948013020052</v>
      </c>
      <c r="J136" s="31" t="s">
        <v>430</v>
      </c>
      <c r="K136" s="27" t="s">
        <v>270</v>
      </c>
      <c r="L136" s="34">
        <v>46080.0</v>
      </c>
      <c r="M136" s="35" t="s">
        <v>60</v>
      </c>
      <c r="N136" s="2">
        <v>2792.0</v>
      </c>
      <c r="O136" s="36" t="s">
        <v>442</v>
      </c>
      <c r="P136" s="37" t="s">
        <v>443</v>
      </c>
      <c r="Q136" s="38"/>
      <c r="R136" s="38"/>
      <c r="S136" s="38"/>
      <c r="T136" s="38"/>
      <c r="U136" s="38"/>
      <c r="V136" s="38"/>
    </row>
    <row r="137">
      <c r="A137" s="23">
        <v>45897.0</v>
      </c>
      <c r="B137" s="25">
        <v>2.093501849E9</v>
      </c>
      <c r="C137" s="27" t="s">
        <v>40</v>
      </c>
      <c r="D137" s="28" t="s">
        <v>8</v>
      </c>
      <c r="E137" s="27">
        <v>1.0</v>
      </c>
      <c r="F137" s="27"/>
      <c r="G137" s="27" t="s">
        <v>444</v>
      </c>
      <c r="H137" s="28">
        <v>6771.0</v>
      </c>
      <c r="I137" s="30" t="str">
        <f t="shared" si="1"/>
        <v>6771-GSB-042257953720020188</v>
      </c>
      <c r="J137" s="31" t="s">
        <v>430</v>
      </c>
      <c r="K137" s="27" t="s">
        <v>270</v>
      </c>
      <c r="L137" s="34">
        <v>46080.0</v>
      </c>
      <c r="M137" s="35" t="s">
        <v>60</v>
      </c>
      <c r="N137" s="2">
        <v>2796.0</v>
      </c>
      <c r="O137" s="36" t="s">
        <v>445</v>
      </c>
      <c r="P137" s="37">
        <v>46108.0</v>
      </c>
      <c r="Q137" s="38"/>
      <c r="R137" s="38"/>
      <c r="S137" s="38"/>
      <c r="T137" s="38"/>
      <c r="U137" s="38"/>
      <c r="V137" s="38"/>
    </row>
    <row r="138">
      <c r="A138" s="23">
        <v>45897.0</v>
      </c>
      <c r="B138" s="27" t="s">
        <v>35</v>
      </c>
      <c r="C138" s="27" t="s">
        <v>143</v>
      </c>
      <c r="D138" s="28" t="s">
        <v>10</v>
      </c>
      <c r="E138" s="27">
        <v>1.0</v>
      </c>
      <c r="F138" s="27"/>
      <c r="G138" s="27">
        <v>3.102001073E9</v>
      </c>
      <c r="H138" s="28">
        <v>7016.0</v>
      </c>
      <c r="I138" s="30" t="str">
        <f t="shared" si="1"/>
        <v>7016-GSB-3102001073</v>
      </c>
      <c r="J138" s="31" t="s">
        <v>430</v>
      </c>
      <c r="K138" s="27" t="s">
        <v>270</v>
      </c>
      <c r="L138" s="34">
        <v>46080.0</v>
      </c>
      <c r="M138" s="35" t="s">
        <v>60</v>
      </c>
      <c r="N138" s="2">
        <v>2782.0</v>
      </c>
      <c r="O138" s="36" t="s">
        <v>431</v>
      </c>
      <c r="P138" s="37">
        <v>46092.0</v>
      </c>
      <c r="Q138" s="38"/>
      <c r="R138" s="38"/>
      <c r="S138" s="38"/>
      <c r="T138" s="38"/>
      <c r="U138" s="38"/>
      <c r="V138" s="38"/>
    </row>
    <row r="139">
      <c r="A139" s="23">
        <v>45897.0</v>
      </c>
      <c r="B139" s="25">
        <v>2.093501849E9</v>
      </c>
      <c r="C139" s="27" t="s">
        <v>71</v>
      </c>
      <c r="D139" s="28" t="s">
        <v>50</v>
      </c>
      <c r="E139" s="27">
        <v>1.0</v>
      </c>
      <c r="F139" s="27"/>
      <c r="G139" s="27" t="s">
        <v>446</v>
      </c>
      <c r="H139" s="28">
        <v>2427.0</v>
      </c>
      <c r="I139" s="30" t="str">
        <f t="shared" si="1"/>
        <v>2427-GSB-042163653706100207</v>
      </c>
      <c r="J139" s="31" t="s">
        <v>430</v>
      </c>
      <c r="K139" s="27" t="s">
        <v>270</v>
      </c>
      <c r="L139" s="34">
        <v>46080.0</v>
      </c>
      <c r="M139" s="35" t="s">
        <v>60</v>
      </c>
      <c r="N139" s="2">
        <v>2782.0</v>
      </c>
      <c r="O139" s="36" t="s">
        <v>431</v>
      </c>
      <c r="P139" s="37">
        <v>46092.0</v>
      </c>
      <c r="Q139" s="38"/>
      <c r="R139" s="38"/>
      <c r="S139" s="38"/>
      <c r="T139" s="38"/>
      <c r="U139" s="38"/>
      <c r="V139" s="38"/>
    </row>
    <row r="140">
      <c r="A140" s="23">
        <v>45897.0</v>
      </c>
      <c r="B140" s="25">
        <v>2.093501849E9</v>
      </c>
      <c r="C140" s="27" t="s">
        <v>71</v>
      </c>
      <c r="D140" s="28" t="s">
        <v>50</v>
      </c>
      <c r="E140" s="27">
        <v>1.0</v>
      </c>
      <c r="F140" s="27"/>
      <c r="G140" s="27" t="s">
        <v>447</v>
      </c>
      <c r="H140" s="28">
        <v>2459.0</v>
      </c>
      <c r="I140" s="30" t="str">
        <f t="shared" si="1"/>
        <v>2459-GSB-042163653728100375</v>
      </c>
      <c r="J140" s="31" t="s">
        <v>430</v>
      </c>
      <c r="K140" s="27" t="s">
        <v>270</v>
      </c>
      <c r="L140" s="34">
        <v>46080.0</v>
      </c>
      <c r="M140" s="35" t="s">
        <v>60</v>
      </c>
      <c r="N140" s="2">
        <v>2780.0</v>
      </c>
      <c r="O140" s="36" t="s">
        <v>448</v>
      </c>
      <c r="P140" s="37">
        <v>46086.0</v>
      </c>
      <c r="Q140" s="38"/>
      <c r="R140" s="38"/>
      <c r="S140" s="38"/>
      <c r="T140" s="38"/>
      <c r="U140" s="38"/>
      <c r="V140" s="38"/>
    </row>
    <row r="141">
      <c r="A141" s="23">
        <v>46078.0</v>
      </c>
      <c r="B141" s="27" t="s">
        <v>375</v>
      </c>
      <c r="C141" s="27">
        <v>8.86618177071E11</v>
      </c>
      <c r="D141" s="28" t="s">
        <v>67</v>
      </c>
      <c r="E141" s="27">
        <v>1.0</v>
      </c>
      <c r="F141" s="27"/>
      <c r="G141" s="27" t="s">
        <v>35</v>
      </c>
      <c r="H141" s="28" t="s">
        <v>35</v>
      </c>
      <c r="I141" s="30" t="str">
        <f t="shared" si="1"/>
        <v>N/A-GSB-N/A</v>
      </c>
      <c r="J141" s="31" t="s">
        <v>430</v>
      </c>
      <c r="K141" s="27" t="s">
        <v>270</v>
      </c>
      <c r="L141" s="34">
        <v>46080.0</v>
      </c>
      <c r="M141" s="35" t="s">
        <v>60</v>
      </c>
      <c r="N141" s="2">
        <v>2788.0</v>
      </c>
      <c r="O141" s="36" t="s">
        <v>449</v>
      </c>
      <c r="P141" s="37">
        <v>46105.0</v>
      </c>
      <c r="Q141" s="38"/>
      <c r="R141" s="38"/>
      <c r="S141" s="38"/>
      <c r="T141" s="38"/>
      <c r="U141" s="38"/>
      <c r="V141" s="38"/>
    </row>
    <row r="142">
      <c r="A142" s="23">
        <v>45897.0</v>
      </c>
      <c r="B142" s="25">
        <v>2.093501849E9</v>
      </c>
      <c r="C142" s="27" t="s">
        <v>108</v>
      </c>
      <c r="D142" s="28" t="s">
        <v>43</v>
      </c>
      <c r="E142" s="27">
        <v>1.0</v>
      </c>
      <c r="F142" s="27"/>
      <c r="G142" s="27">
        <v>2.02400079818E11</v>
      </c>
      <c r="H142" s="28">
        <v>6604.0</v>
      </c>
      <c r="I142" s="30" t="str">
        <f t="shared" si="1"/>
        <v>6604-GSB-202400079818</v>
      </c>
      <c r="J142" s="31" t="s">
        <v>450</v>
      </c>
      <c r="K142" s="27" t="s">
        <v>85</v>
      </c>
      <c r="L142" s="34">
        <v>46080.0</v>
      </c>
      <c r="M142" s="35" t="s">
        <v>139</v>
      </c>
      <c r="N142" s="2">
        <v>1124.0</v>
      </c>
      <c r="O142" s="36" t="s">
        <v>451</v>
      </c>
      <c r="P142" s="37">
        <v>46082.0</v>
      </c>
      <c r="Q142" s="38"/>
      <c r="R142" s="38"/>
      <c r="S142" s="38"/>
      <c r="T142" s="38"/>
      <c r="U142" s="38"/>
      <c r="V142" s="38"/>
    </row>
    <row r="143">
      <c r="A143" s="75">
        <v>46080.0</v>
      </c>
      <c r="B143" s="27" t="s">
        <v>35</v>
      </c>
      <c r="C143" s="27" t="s">
        <v>35</v>
      </c>
      <c r="D143" s="28" t="s">
        <v>33</v>
      </c>
      <c r="E143" s="27">
        <v>1.0</v>
      </c>
      <c r="F143" s="27"/>
      <c r="G143" s="27" t="s">
        <v>35</v>
      </c>
      <c r="H143" s="28" t="s">
        <v>35</v>
      </c>
      <c r="I143" s="30" t="str">
        <f t="shared" si="1"/>
        <v>N/A-GSB-N/A</v>
      </c>
      <c r="J143" s="31" t="s">
        <v>450</v>
      </c>
      <c r="K143" s="27" t="s">
        <v>85</v>
      </c>
      <c r="L143" s="34">
        <v>46080.0</v>
      </c>
      <c r="M143" s="35" t="s">
        <v>139</v>
      </c>
      <c r="N143" s="2">
        <v>1124.0</v>
      </c>
      <c r="O143" s="36" t="s">
        <v>451</v>
      </c>
      <c r="P143" s="37">
        <v>46082.0</v>
      </c>
      <c r="Q143" s="38"/>
      <c r="R143" s="38"/>
      <c r="S143" s="38"/>
      <c r="T143" s="38"/>
      <c r="U143" s="38"/>
      <c r="V143" s="38"/>
    </row>
    <row r="144">
      <c r="A144" s="75">
        <v>46084.0</v>
      </c>
      <c r="B144" s="27" t="s">
        <v>35</v>
      </c>
      <c r="C144" s="27" t="s">
        <v>35</v>
      </c>
      <c r="D144" s="28" t="s">
        <v>54</v>
      </c>
      <c r="E144" s="27">
        <v>1.0</v>
      </c>
      <c r="F144" s="27"/>
      <c r="G144" s="27" t="s">
        <v>35</v>
      </c>
      <c r="H144" s="28">
        <v>10054.0</v>
      </c>
      <c r="I144" s="30" t="str">
        <f t="shared" si="1"/>
        <v>10054-GSB-N/A</v>
      </c>
      <c r="J144" s="25" t="s">
        <v>452</v>
      </c>
      <c r="K144" s="25" t="s">
        <v>453</v>
      </c>
      <c r="L144" s="64">
        <v>46084.0</v>
      </c>
      <c r="M144" s="35" t="s">
        <v>139</v>
      </c>
      <c r="N144" s="2">
        <v>1131.0</v>
      </c>
      <c r="O144" s="36" t="s">
        <v>454</v>
      </c>
      <c r="P144" s="37">
        <v>46091.0</v>
      </c>
      <c r="Q144" s="38"/>
      <c r="R144" s="38"/>
      <c r="S144" s="38"/>
      <c r="T144" s="38"/>
      <c r="U144" s="38"/>
      <c r="V144" s="38"/>
    </row>
    <row r="145">
      <c r="A145" s="75">
        <v>46085.0</v>
      </c>
      <c r="B145" s="27" t="s">
        <v>135</v>
      </c>
      <c r="C145" s="27">
        <v>6.76544009023E11</v>
      </c>
      <c r="D145" s="28" t="s">
        <v>136</v>
      </c>
      <c r="E145" s="27">
        <v>1.0</v>
      </c>
      <c r="F145" s="27"/>
      <c r="G145" s="27" t="s">
        <v>35</v>
      </c>
      <c r="H145" s="28">
        <v>10103.0</v>
      </c>
      <c r="I145" s="30" t="str">
        <f t="shared" si="1"/>
        <v>10103-GSB-N/A</v>
      </c>
      <c r="J145" s="31" t="s">
        <v>138</v>
      </c>
      <c r="K145" s="27" t="s">
        <v>112</v>
      </c>
      <c r="L145" s="34">
        <v>46085.0</v>
      </c>
      <c r="M145" s="35" t="s">
        <v>139</v>
      </c>
      <c r="N145" s="2">
        <v>2569.0</v>
      </c>
      <c r="O145" s="36" t="s">
        <v>140</v>
      </c>
      <c r="P145" s="37">
        <v>46085.0</v>
      </c>
      <c r="Q145" s="38"/>
      <c r="R145" s="38"/>
      <c r="S145" s="38"/>
      <c r="T145" s="38"/>
      <c r="U145" s="38"/>
      <c r="V145" s="38"/>
    </row>
    <row r="146">
      <c r="A146" s="75">
        <v>46085.0</v>
      </c>
      <c r="B146" s="27" t="s">
        <v>135</v>
      </c>
      <c r="C146" s="27">
        <v>6.76544009023E11</v>
      </c>
      <c r="D146" s="28" t="s">
        <v>136</v>
      </c>
      <c r="E146" s="27">
        <v>1.0</v>
      </c>
      <c r="F146" s="27"/>
      <c r="G146" s="27" t="s">
        <v>35</v>
      </c>
      <c r="H146" s="28">
        <v>10104.0</v>
      </c>
      <c r="I146" s="30" t="str">
        <f t="shared" si="1"/>
        <v>10104-GSB-N/A</v>
      </c>
      <c r="J146" s="31" t="s">
        <v>138</v>
      </c>
      <c r="K146" s="27" t="s">
        <v>112</v>
      </c>
      <c r="L146" s="34">
        <v>46085.0</v>
      </c>
      <c r="M146" s="35" t="s">
        <v>139</v>
      </c>
      <c r="N146" s="2">
        <v>2569.0</v>
      </c>
      <c r="O146" s="36" t="s">
        <v>140</v>
      </c>
      <c r="P146" s="37">
        <v>46085.0</v>
      </c>
      <c r="Q146" s="38"/>
      <c r="R146" s="38"/>
      <c r="S146" s="38"/>
      <c r="T146" s="38"/>
      <c r="U146" s="38"/>
      <c r="V146" s="38"/>
    </row>
    <row r="147">
      <c r="A147" s="23">
        <v>45897.0</v>
      </c>
      <c r="B147" s="25">
        <v>2.093501849E9</v>
      </c>
      <c r="C147" s="27" t="s">
        <v>108</v>
      </c>
      <c r="D147" s="28" t="s">
        <v>43</v>
      </c>
      <c r="E147" s="27">
        <v>1.0</v>
      </c>
      <c r="F147" s="27"/>
      <c r="G147" s="27">
        <v>2.02400077901E11</v>
      </c>
      <c r="H147" s="28">
        <v>6594.0</v>
      </c>
      <c r="I147" s="30" t="str">
        <f t="shared" si="1"/>
        <v>6594-GSB-202400077901</v>
      </c>
      <c r="J147" s="31" t="s">
        <v>455</v>
      </c>
      <c r="K147" s="27" t="s">
        <v>55</v>
      </c>
      <c r="L147" s="34">
        <v>46093.0</v>
      </c>
      <c r="M147" s="35" t="s">
        <v>139</v>
      </c>
      <c r="N147" s="2">
        <v>2739.0</v>
      </c>
      <c r="O147" s="36" t="s">
        <v>456</v>
      </c>
      <c r="P147" s="37">
        <v>46094.0</v>
      </c>
      <c r="Q147" s="38"/>
      <c r="R147" s="38"/>
      <c r="S147" s="38"/>
      <c r="T147" s="38"/>
      <c r="U147" s="38"/>
      <c r="V147" s="38"/>
    </row>
    <row r="148">
      <c r="A148" s="23">
        <v>45897.0</v>
      </c>
      <c r="B148" s="27">
        <v>2.093501849E9</v>
      </c>
      <c r="C148" s="27">
        <v>4.998117557E9</v>
      </c>
      <c r="D148" s="28" t="s">
        <v>5</v>
      </c>
      <c r="E148" s="27">
        <v>1.0</v>
      </c>
      <c r="F148" s="31"/>
      <c r="G148" s="31" t="s">
        <v>457</v>
      </c>
      <c r="H148" s="30">
        <v>4894.0</v>
      </c>
      <c r="I148" s="28" t="str">
        <f t="shared" si="1"/>
        <v>4894-GSB-092256847517520263</v>
      </c>
      <c r="J148" s="25" t="s">
        <v>458</v>
      </c>
      <c r="K148" s="27" t="s">
        <v>85</v>
      </c>
      <c r="L148" s="64">
        <v>46097.0</v>
      </c>
      <c r="M148" s="35" t="s">
        <v>139</v>
      </c>
      <c r="N148" s="2">
        <v>3103.0</v>
      </c>
      <c r="O148" s="36" t="s">
        <v>458</v>
      </c>
      <c r="P148" s="37">
        <v>46106.0</v>
      </c>
      <c r="Q148" s="38"/>
      <c r="R148" s="38"/>
      <c r="S148" s="38"/>
      <c r="T148" s="38"/>
      <c r="U148" s="38"/>
      <c r="V148" s="38"/>
    </row>
    <row r="149">
      <c r="A149" s="23">
        <v>45897.0</v>
      </c>
      <c r="B149" s="25">
        <v>2.093501849E9</v>
      </c>
      <c r="C149" s="27">
        <v>4.998117557E9</v>
      </c>
      <c r="D149" s="28" t="s">
        <v>5</v>
      </c>
      <c r="E149" s="27">
        <v>1.0</v>
      </c>
      <c r="F149" s="27"/>
      <c r="G149" s="27" t="s">
        <v>459</v>
      </c>
      <c r="H149" s="28">
        <v>5901.0</v>
      </c>
      <c r="I149" s="30" t="str">
        <f t="shared" si="1"/>
        <v>5901-GSB-092256847892120306</v>
      </c>
      <c r="J149" s="25" t="s">
        <v>458</v>
      </c>
      <c r="K149" s="27" t="s">
        <v>85</v>
      </c>
      <c r="L149" s="64">
        <v>46097.0</v>
      </c>
      <c r="M149" s="35" t="s">
        <v>139</v>
      </c>
      <c r="N149" s="2">
        <v>3103.0</v>
      </c>
      <c r="O149" s="36" t="s">
        <v>458</v>
      </c>
      <c r="P149" s="37">
        <v>46106.0</v>
      </c>
      <c r="Q149" s="38"/>
      <c r="R149" s="38"/>
      <c r="S149" s="38"/>
      <c r="T149" s="38"/>
      <c r="U149" s="38"/>
      <c r="V149" s="38"/>
    </row>
    <row r="150">
      <c r="A150" s="23">
        <v>45897.0</v>
      </c>
      <c r="B150" s="25">
        <v>2.093501849E9</v>
      </c>
      <c r="C150" s="27">
        <v>4.998117557E9</v>
      </c>
      <c r="D150" s="28" t="s">
        <v>5</v>
      </c>
      <c r="E150" s="27">
        <v>1.0</v>
      </c>
      <c r="F150" s="27"/>
      <c r="G150" s="27" t="s">
        <v>460</v>
      </c>
      <c r="H150" s="28">
        <v>5988.0</v>
      </c>
      <c r="I150" s="30" t="str">
        <f t="shared" si="1"/>
        <v>5988-GSB-092256847892120290</v>
      </c>
      <c r="J150" s="25" t="s">
        <v>458</v>
      </c>
      <c r="K150" s="27" t="s">
        <v>85</v>
      </c>
      <c r="L150" s="64">
        <v>46097.0</v>
      </c>
      <c r="M150" s="35" t="s">
        <v>139</v>
      </c>
      <c r="N150" s="2">
        <v>3103.0</v>
      </c>
      <c r="O150" s="36" t="s">
        <v>458</v>
      </c>
      <c r="P150" s="37">
        <v>46106.0</v>
      </c>
      <c r="Q150" s="38"/>
      <c r="R150" s="38"/>
      <c r="S150" s="38"/>
      <c r="T150" s="38"/>
      <c r="U150" s="38"/>
      <c r="V150" s="38"/>
    </row>
    <row r="151">
      <c r="A151" s="23">
        <v>45897.0</v>
      </c>
      <c r="B151" s="25">
        <v>2.093501849E9</v>
      </c>
      <c r="C151" s="27">
        <v>4.998117557E9</v>
      </c>
      <c r="D151" s="28" t="s">
        <v>5</v>
      </c>
      <c r="E151" s="27">
        <v>1.0</v>
      </c>
      <c r="F151" s="27"/>
      <c r="G151" s="27" t="s">
        <v>461</v>
      </c>
      <c r="H151" s="28">
        <v>5991.0</v>
      </c>
      <c r="I151" s="30" t="str">
        <f t="shared" si="1"/>
        <v>5991-GSB-092256847892120289</v>
      </c>
      <c r="J151" s="25" t="s">
        <v>458</v>
      </c>
      <c r="K151" s="27" t="s">
        <v>85</v>
      </c>
      <c r="L151" s="64">
        <v>46097.0</v>
      </c>
      <c r="M151" s="35" t="s">
        <v>139</v>
      </c>
      <c r="N151" s="2">
        <v>3103.0</v>
      </c>
      <c r="O151" s="36" t="s">
        <v>458</v>
      </c>
      <c r="P151" s="37">
        <v>46106.0</v>
      </c>
      <c r="Q151" s="38"/>
      <c r="R151" s="38"/>
      <c r="S151" s="38"/>
      <c r="T151" s="38"/>
      <c r="U151" s="38"/>
      <c r="V151" s="38"/>
    </row>
    <row r="152">
      <c r="A152" s="23">
        <v>45897.0</v>
      </c>
      <c r="B152" s="25">
        <v>2.093501849E9</v>
      </c>
      <c r="C152" s="27">
        <v>4.998117557E9</v>
      </c>
      <c r="D152" s="28" t="s">
        <v>5</v>
      </c>
      <c r="E152" s="27">
        <v>1.0</v>
      </c>
      <c r="F152" s="27"/>
      <c r="G152" s="27" t="s">
        <v>462</v>
      </c>
      <c r="H152" s="28">
        <v>5989.0</v>
      </c>
      <c r="I152" s="30" t="str">
        <f t="shared" si="1"/>
        <v>5989-GSB-092256847892120282</v>
      </c>
      <c r="J152" s="25" t="s">
        <v>458</v>
      </c>
      <c r="K152" s="27" t="s">
        <v>85</v>
      </c>
      <c r="L152" s="64">
        <v>46097.0</v>
      </c>
      <c r="M152" s="35" t="s">
        <v>139</v>
      </c>
      <c r="N152" s="2">
        <v>3103.0</v>
      </c>
      <c r="O152" s="36" t="s">
        <v>458</v>
      </c>
      <c r="P152" s="37">
        <v>46106.0</v>
      </c>
      <c r="Q152" s="38"/>
      <c r="R152" s="38"/>
      <c r="S152" s="38"/>
      <c r="T152" s="38"/>
      <c r="U152" s="38"/>
      <c r="V152" s="38"/>
    </row>
    <row r="153">
      <c r="A153" s="23">
        <v>45897.0</v>
      </c>
      <c r="B153" s="25">
        <v>2.093501849E9</v>
      </c>
      <c r="C153" s="27" t="s">
        <v>108</v>
      </c>
      <c r="D153" s="28" t="s">
        <v>43</v>
      </c>
      <c r="E153" s="27">
        <v>1.0</v>
      </c>
      <c r="F153" s="27"/>
      <c r="G153" s="27">
        <v>2.02400078191E11</v>
      </c>
      <c r="H153" s="28">
        <v>6590.0</v>
      </c>
      <c r="I153" s="30" t="str">
        <f t="shared" si="1"/>
        <v>6590-GSB-202400078191</v>
      </c>
      <c r="J153" s="25" t="s">
        <v>458</v>
      </c>
      <c r="K153" s="27" t="s">
        <v>85</v>
      </c>
      <c r="L153" s="64">
        <v>46097.0</v>
      </c>
      <c r="M153" s="35" t="s">
        <v>139</v>
      </c>
      <c r="N153" s="2">
        <v>3103.0</v>
      </c>
      <c r="O153" s="36" t="s">
        <v>458</v>
      </c>
      <c r="P153" s="37">
        <v>46106.0</v>
      </c>
      <c r="Q153" s="38"/>
      <c r="R153" s="38"/>
      <c r="S153" s="38"/>
      <c r="T153" s="38"/>
      <c r="U153" s="38"/>
      <c r="V153" s="38"/>
    </row>
    <row r="154">
      <c r="A154" s="23">
        <v>45897.0</v>
      </c>
      <c r="B154" s="25">
        <v>2.093501849E9</v>
      </c>
      <c r="C154" s="27" t="s">
        <v>108</v>
      </c>
      <c r="D154" s="28" t="s">
        <v>43</v>
      </c>
      <c r="E154" s="27">
        <v>1.0</v>
      </c>
      <c r="F154" s="27"/>
      <c r="G154" s="27">
        <v>2.02400079831E11</v>
      </c>
      <c r="H154" s="28">
        <v>6592.0</v>
      </c>
      <c r="I154" s="30" t="str">
        <f t="shared" si="1"/>
        <v>6592-GSB-202400079831</v>
      </c>
      <c r="J154" s="25" t="s">
        <v>458</v>
      </c>
      <c r="K154" s="27" t="s">
        <v>85</v>
      </c>
      <c r="L154" s="64">
        <v>46097.0</v>
      </c>
      <c r="M154" s="35" t="s">
        <v>139</v>
      </c>
      <c r="N154" s="2">
        <v>3103.0</v>
      </c>
      <c r="O154" s="36" t="s">
        <v>458</v>
      </c>
      <c r="P154" s="37">
        <v>46106.0</v>
      </c>
      <c r="Q154" s="38"/>
      <c r="R154" s="38"/>
      <c r="S154" s="38"/>
      <c r="T154" s="38"/>
      <c r="U154" s="38"/>
      <c r="V154" s="38"/>
    </row>
    <row r="155">
      <c r="A155" s="23">
        <v>45897.0</v>
      </c>
      <c r="B155" s="25">
        <v>2.093501849E9</v>
      </c>
      <c r="C155" s="27" t="s">
        <v>40</v>
      </c>
      <c r="D155" s="28" t="s">
        <v>8</v>
      </c>
      <c r="E155" s="27">
        <v>1.0</v>
      </c>
      <c r="F155" s="27"/>
      <c r="G155" s="27" t="s">
        <v>463</v>
      </c>
      <c r="H155" s="28">
        <v>6776.0</v>
      </c>
      <c r="I155" s="30" t="str">
        <f t="shared" si="1"/>
        <v>6776-GSB-042257953720020171</v>
      </c>
      <c r="J155" s="25" t="s">
        <v>458</v>
      </c>
      <c r="K155" s="27" t="s">
        <v>85</v>
      </c>
      <c r="L155" s="64">
        <v>46097.0</v>
      </c>
      <c r="M155" s="35" t="s">
        <v>139</v>
      </c>
      <c r="N155" s="2">
        <v>3103.0</v>
      </c>
      <c r="O155" s="36" t="s">
        <v>458</v>
      </c>
      <c r="P155" s="37">
        <v>46106.0</v>
      </c>
      <c r="Q155" s="38"/>
      <c r="R155" s="38"/>
      <c r="S155" s="38"/>
      <c r="T155" s="38"/>
      <c r="U155" s="38"/>
      <c r="V155" s="38"/>
    </row>
    <row r="156">
      <c r="A156" s="23">
        <v>45897.0</v>
      </c>
      <c r="B156" s="27" t="s">
        <v>35</v>
      </c>
      <c r="C156" s="27">
        <v>4.998114565E9</v>
      </c>
      <c r="D156" s="28" t="s">
        <v>2</v>
      </c>
      <c r="E156" s="27">
        <v>1.0</v>
      </c>
      <c r="F156" s="27"/>
      <c r="G156" s="27" t="s">
        <v>464</v>
      </c>
      <c r="H156" s="28">
        <v>2213.0</v>
      </c>
      <c r="I156" s="30" t="str">
        <f t="shared" si="1"/>
        <v>2213-GSB-SDS1034702</v>
      </c>
      <c r="J156" s="25" t="s">
        <v>458</v>
      </c>
      <c r="K156" s="27" t="s">
        <v>85</v>
      </c>
      <c r="L156" s="64">
        <v>46097.0</v>
      </c>
      <c r="M156" s="35" t="s">
        <v>139</v>
      </c>
      <c r="N156" s="2">
        <v>3103.0</v>
      </c>
      <c r="O156" s="36" t="s">
        <v>458</v>
      </c>
      <c r="P156" s="37">
        <v>46106.0</v>
      </c>
      <c r="Q156" s="38"/>
      <c r="R156" s="38"/>
      <c r="S156" s="38"/>
      <c r="T156" s="38"/>
      <c r="U156" s="38"/>
      <c r="V156" s="38"/>
    </row>
    <row r="157">
      <c r="A157" s="23">
        <v>45897.0</v>
      </c>
      <c r="B157" s="27" t="s">
        <v>35</v>
      </c>
      <c r="C157" s="27" t="s">
        <v>129</v>
      </c>
      <c r="D157" s="28" t="s">
        <v>130</v>
      </c>
      <c r="E157" s="27">
        <v>1.0</v>
      </c>
      <c r="F157" s="27"/>
      <c r="G157" s="27" t="s">
        <v>465</v>
      </c>
      <c r="H157" s="28">
        <v>2156.0</v>
      </c>
      <c r="I157" s="30" t="str">
        <f t="shared" si="1"/>
        <v>2156-GSB-093140347627860054</v>
      </c>
      <c r="J157" s="25" t="s">
        <v>458</v>
      </c>
      <c r="K157" s="27" t="s">
        <v>85</v>
      </c>
      <c r="L157" s="64">
        <v>46097.0</v>
      </c>
      <c r="M157" s="35" t="s">
        <v>139</v>
      </c>
      <c r="N157" s="2">
        <v>3103.0</v>
      </c>
      <c r="O157" s="36" t="s">
        <v>458</v>
      </c>
      <c r="P157" s="37">
        <v>46106.0</v>
      </c>
      <c r="Q157" s="38"/>
      <c r="R157" s="38"/>
      <c r="S157" s="38"/>
      <c r="T157" s="38"/>
      <c r="U157" s="38"/>
      <c r="V157" s="38"/>
    </row>
    <row r="158">
      <c r="A158" s="23">
        <v>45897.0</v>
      </c>
      <c r="B158" s="25">
        <v>2.093501849E9</v>
      </c>
      <c r="C158" s="27" t="s">
        <v>71</v>
      </c>
      <c r="D158" s="28" t="s">
        <v>50</v>
      </c>
      <c r="E158" s="27">
        <v>1.0</v>
      </c>
      <c r="F158" s="27"/>
      <c r="G158" s="27" t="s">
        <v>466</v>
      </c>
      <c r="H158" s="28">
        <v>2428.0</v>
      </c>
      <c r="I158" s="30" t="str">
        <f t="shared" si="1"/>
        <v>2428-GSB-042163653706100211</v>
      </c>
      <c r="J158" s="25" t="s">
        <v>458</v>
      </c>
      <c r="K158" s="27" t="s">
        <v>85</v>
      </c>
      <c r="L158" s="64">
        <v>46097.0</v>
      </c>
      <c r="M158" s="35" t="s">
        <v>139</v>
      </c>
      <c r="N158" s="2">
        <v>3103.0</v>
      </c>
      <c r="O158" s="36" t="s">
        <v>458</v>
      </c>
      <c r="P158" s="37">
        <v>46106.0</v>
      </c>
      <c r="Q158" s="38"/>
      <c r="R158" s="38"/>
      <c r="S158" s="38"/>
      <c r="T158" s="38"/>
      <c r="U158" s="38"/>
      <c r="V158" s="38"/>
    </row>
    <row r="159">
      <c r="A159" s="75">
        <v>46087.0</v>
      </c>
      <c r="B159" s="27" t="s">
        <v>467</v>
      </c>
      <c r="C159" s="27">
        <v>6.76544009023E11</v>
      </c>
      <c r="D159" s="28" t="s">
        <v>47</v>
      </c>
      <c r="E159" s="27">
        <v>1.0</v>
      </c>
      <c r="F159" s="27"/>
      <c r="G159" s="27" t="s">
        <v>35</v>
      </c>
      <c r="H159" s="28">
        <v>10108.0</v>
      </c>
      <c r="I159" s="30" t="str">
        <f t="shared" si="1"/>
        <v>10108-GSB-N/A</v>
      </c>
      <c r="J159" s="25" t="s">
        <v>458</v>
      </c>
      <c r="K159" s="27" t="s">
        <v>85</v>
      </c>
      <c r="L159" s="64">
        <v>46097.0</v>
      </c>
      <c r="M159" s="35" t="s">
        <v>139</v>
      </c>
      <c r="N159" s="2">
        <v>3103.0</v>
      </c>
      <c r="O159" s="36" t="s">
        <v>458</v>
      </c>
      <c r="P159" s="37">
        <v>46106.0</v>
      </c>
      <c r="Q159" s="38"/>
      <c r="R159" s="38"/>
      <c r="S159" s="38"/>
      <c r="T159" s="38"/>
      <c r="U159" s="38"/>
      <c r="V159" s="38"/>
    </row>
    <row r="160">
      <c r="A160" s="75">
        <v>46085.0</v>
      </c>
      <c r="B160" s="27" t="s">
        <v>345</v>
      </c>
      <c r="C160" s="27">
        <v>8.86618177071E11</v>
      </c>
      <c r="D160" s="28" t="s">
        <v>67</v>
      </c>
      <c r="E160" s="27">
        <v>1.0</v>
      </c>
      <c r="F160" s="27"/>
      <c r="G160" s="27" t="s">
        <v>35</v>
      </c>
      <c r="H160" s="28">
        <v>10091.0</v>
      </c>
      <c r="I160" s="30" t="str">
        <f t="shared" si="1"/>
        <v>10091-GSB-N/A</v>
      </c>
      <c r="J160" s="25" t="s">
        <v>458</v>
      </c>
      <c r="K160" s="27" t="s">
        <v>85</v>
      </c>
      <c r="L160" s="64">
        <v>46097.0</v>
      </c>
      <c r="M160" s="35" t="s">
        <v>139</v>
      </c>
      <c r="N160" s="2">
        <v>3103.0</v>
      </c>
      <c r="O160" s="36" t="s">
        <v>458</v>
      </c>
      <c r="P160" s="37">
        <v>46106.0</v>
      </c>
      <c r="Q160" s="38"/>
      <c r="R160" s="38"/>
      <c r="S160" s="38"/>
      <c r="T160" s="38"/>
      <c r="U160" s="38"/>
      <c r="V160" s="38"/>
    </row>
    <row r="161">
      <c r="A161" s="75">
        <v>46085.0</v>
      </c>
      <c r="B161" s="27" t="s">
        <v>345</v>
      </c>
      <c r="C161" s="27">
        <v>8.86618177071E11</v>
      </c>
      <c r="D161" s="28" t="s">
        <v>67</v>
      </c>
      <c r="E161" s="27">
        <v>1.0</v>
      </c>
      <c r="F161" s="27"/>
      <c r="G161" s="27" t="s">
        <v>35</v>
      </c>
      <c r="H161" s="28">
        <v>10092.0</v>
      </c>
      <c r="I161" s="30" t="str">
        <f t="shared" si="1"/>
        <v>10092-GSB-N/A</v>
      </c>
      <c r="J161" s="25" t="s">
        <v>458</v>
      </c>
      <c r="K161" s="27" t="s">
        <v>85</v>
      </c>
      <c r="L161" s="64">
        <v>46097.0</v>
      </c>
      <c r="M161" s="35" t="s">
        <v>139</v>
      </c>
      <c r="N161" s="2">
        <v>3103.0</v>
      </c>
      <c r="O161" s="36" t="s">
        <v>458</v>
      </c>
      <c r="P161" s="37">
        <v>46106.0</v>
      </c>
      <c r="Q161" s="38"/>
      <c r="R161" s="38"/>
      <c r="S161" s="38"/>
      <c r="T161" s="38"/>
      <c r="U161" s="38"/>
      <c r="V161" s="38"/>
    </row>
    <row r="162">
      <c r="A162" s="75">
        <v>46085.0</v>
      </c>
      <c r="B162" s="27" t="s">
        <v>345</v>
      </c>
      <c r="C162" s="27">
        <v>8.86618177071E11</v>
      </c>
      <c r="D162" s="28" t="s">
        <v>67</v>
      </c>
      <c r="E162" s="27">
        <v>1.0</v>
      </c>
      <c r="F162" s="27"/>
      <c r="G162" s="27" t="s">
        <v>35</v>
      </c>
      <c r="H162" s="28">
        <v>10093.0</v>
      </c>
      <c r="I162" s="30" t="str">
        <f t="shared" si="1"/>
        <v>10093-GSB-N/A</v>
      </c>
      <c r="J162" s="25" t="s">
        <v>458</v>
      </c>
      <c r="K162" s="27" t="s">
        <v>85</v>
      </c>
      <c r="L162" s="64">
        <v>46097.0</v>
      </c>
      <c r="M162" s="35" t="s">
        <v>139</v>
      </c>
      <c r="N162" s="2">
        <v>3103.0</v>
      </c>
      <c r="O162" s="36" t="s">
        <v>458</v>
      </c>
      <c r="P162" s="37">
        <v>46106.0</v>
      </c>
      <c r="Q162" s="38"/>
      <c r="R162" s="38"/>
      <c r="S162" s="38"/>
      <c r="T162" s="38"/>
      <c r="U162" s="38"/>
      <c r="V162" s="38"/>
    </row>
    <row r="163">
      <c r="A163" s="23">
        <v>46083.0</v>
      </c>
      <c r="B163" s="27" t="s">
        <v>35</v>
      </c>
      <c r="C163" s="27">
        <v>7.703240073126E12</v>
      </c>
      <c r="D163" s="28" t="s">
        <v>333</v>
      </c>
      <c r="E163" s="27">
        <v>1.0</v>
      </c>
      <c r="F163" s="27"/>
      <c r="G163" s="27" t="s">
        <v>35</v>
      </c>
      <c r="H163" s="28">
        <v>10053.0</v>
      </c>
      <c r="I163" s="30" t="str">
        <f t="shared" si="1"/>
        <v>10053-GSB-N/A</v>
      </c>
      <c r="J163" s="25" t="s">
        <v>458</v>
      </c>
      <c r="K163" s="27" t="s">
        <v>85</v>
      </c>
      <c r="L163" s="64">
        <v>46097.0</v>
      </c>
      <c r="M163" s="35" t="s">
        <v>139</v>
      </c>
      <c r="N163" s="2">
        <v>3103.0</v>
      </c>
      <c r="O163" s="36" t="s">
        <v>458</v>
      </c>
      <c r="P163" s="37">
        <v>46106.0</v>
      </c>
      <c r="Q163" s="38"/>
      <c r="R163" s="38"/>
      <c r="S163" s="38"/>
      <c r="T163" s="38"/>
      <c r="U163" s="38"/>
      <c r="V163" s="38"/>
    </row>
    <row r="164">
      <c r="A164" s="75">
        <v>46085.0</v>
      </c>
      <c r="B164" s="27" t="s">
        <v>135</v>
      </c>
      <c r="C164" s="27" t="s">
        <v>340</v>
      </c>
      <c r="D164" s="28" t="s">
        <v>31</v>
      </c>
      <c r="E164" s="27">
        <v>1.0</v>
      </c>
      <c r="F164" s="27"/>
      <c r="G164" s="27" t="s">
        <v>35</v>
      </c>
      <c r="H164" s="28">
        <v>10061.0</v>
      </c>
      <c r="I164" s="30" t="str">
        <f t="shared" si="1"/>
        <v>10061-GSB-N/A</v>
      </c>
      <c r="J164" s="25" t="s">
        <v>458</v>
      </c>
      <c r="K164" s="27" t="s">
        <v>85</v>
      </c>
      <c r="L164" s="64">
        <v>46097.0</v>
      </c>
      <c r="M164" s="35" t="s">
        <v>139</v>
      </c>
      <c r="N164" s="2">
        <v>3103.0</v>
      </c>
      <c r="O164" s="36" t="s">
        <v>458</v>
      </c>
      <c r="P164" s="37">
        <v>46106.0</v>
      </c>
      <c r="Q164" s="38"/>
      <c r="R164" s="38"/>
      <c r="S164" s="38"/>
      <c r="T164" s="38"/>
      <c r="U164" s="38"/>
      <c r="V164" s="38"/>
    </row>
    <row r="165">
      <c r="A165" s="75">
        <v>46085.0</v>
      </c>
      <c r="B165" s="27" t="s">
        <v>135</v>
      </c>
      <c r="C165" s="27" t="s">
        <v>340</v>
      </c>
      <c r="D165" s="28" t="s">
        <v>31</v>
      </c>
      <c r="E165" s="27">
        <v>1.0</v>
      </c>
      <c r="F165" s="27"/>
      <c r="G165" s="27" t="s">
        <v>35</v>
      </c>
      <c r="H165" s="28">
        <v>10062.0</v>
      </c>
      <c r="I165" s="30" t="str">
        <f t="shared" si="1"/>
        <v>10062-GSB-N/A</v>
      </c>
      <c r="J165" s="25" t="s">
        <v>458</v>
      </c>
      <c r="K165" s="27" t="s">
        <v>85</v>
      </c>
      <c r="L165" s="64">
        <v>46097.0</v>
      </c>
      <c r="M165" s="35" t="s">
        <v>139</v>
      </c>
      <c r="N165" s="2">
        <v>3103.0</v>
      </c>
      <c r="O165" s="36" t="s">
        <v>458</v>
      </c>
      <c r="P165" s="37">
        <v>46106.0</v>
      </c>
      <c r="Q165" s="38"/>
      <c r="R165" s="38"/>
      <c r="S165" s="38"/>
      <c r="T165" s="38"/>
      <c r="U165" s="38"/>
      <c r="V165" s="38"/>
    </row>
    <row r="166">
      <c r="A166" s="75">
        <v>46085.0</v>
      </c>
      <c r="B166" s="27" t="s">
        <v>135</v>
      </c>
      <c r="C166" s="27" t="s">
        <v>340</v>
      </c>
      <c r="D166" s="28" t="s">
        <v>31</v>
      </c>
      <c r="E166" s="27">
        <v>1.0</v>
      </c>
      <c r="F166" s="27"/>
      <c r="G166" s="27" t="s">
        <v>35</v>
      </c>
      <c r="H166" s="28">
        <v>10063.0</v>
      </c>
      <c r="I166" s="30" t="str">
        <f t="shared" si="1"/>
        <v>10063-GSB-N/A</v>
      </c>
      <c r="J166" s="25" t="s">
        <v>458</v>
      </c>
      <c r="K166" s="27" t="s">
        <v>85</v>
      </c>
      <c r="L166" s="64">
        <v>46097.0</v>
      </c>
      <c r="M166" s="35" t="s">
        <v>139</v>
      </c>
      <c r="N166" s="2">
        <v>3103.0</v>
      </c>
      <c r="O166" s="36" t="s">
        <v>458</v>
      </c>
      <c r="P166" s="37">
        <v>46106.0</v>
      </c>
      <c r="Q166" s="38"/>
      <c r="R166" s="38"/>
      <c r="S166" s="38"/>
      <c r="T166" s="38"/>
      <c r="U166" s="38"/>
      <c r="V166" s="38"/>
    </row>
    <row r="167">
      <c r="A167" s="75">
        <v>46099.0</v>
      </c>
      <c r="B167" s="27">
        <v>57792.0</v>
      </c>
      <c r="C167" s="27">
        <v>1036979.0</v>
      </c>
      <c r="D167" s="28" t="s">
        <v>11</v>
      </c>
      <c r="E167" s="27">
        <v>1.0</v>
      </c>
      <c r="F167" s="27"/>
      <c r="G167" s="27" t="s">
        <v>35</v>
      </c>
      <c r="H167" s="28">
        <v>10074.0</v>
      </c>
      <c r="I167" s="30" t="str">
        <f t="shared" si="1"/>
        <v>10074-GSB-N/A</v>
      </c>
      <c r="J167" s="25" t="s">
        <v>458</v>
      </c>
      <c r="K167" s="27" t="s">
        <v>85</v>
      </c>
      <c r="L167" s="64">
        <v>46097.0</v>
      </c>
      <c r="M167" s="35" t="s">
        <v>139</v>
      </c>
      <c r="N167" s="2">
        <v>3119.0</v>
      </c>
      <c r="O167" s="36" t="s">
        <v>458</v>
      </c>
      <c r="P167" s="37">
        <v>46135.0</v>
      </c>
      <c r="Q167" s="38"/>
      <c r="R167" s="38"/>
      <c r="S167" s="38"/>
      <c r="T167" s="38"/>
      <c r="U167" s="38"/>
      <c r="V167" s="38"/>
    </row>
    <row r="168">
      <c r="A168" s="23">
        <v>45897.0</v>
      </c>
      <c r="B168" s="25">
        <v>2.093501849E9</v>
      </c>
      <c r="C168" s="27">
        <v>7.81410473577E11</v>
      </c>
      <c r="D168" s="28" t="s">
        <v>32</v>
      </c>
      <c r="E168" s="27">
        <v>1.0</v>
      </c>
      <c r="F168" s="27"/>
      <c r="G168" s="27" t="s">
        <v>485</v>
      </c>
      <c r="H168" s="28">
        <v>9080.0</v>
      </c>
      <c r="I168" s="30" t="str">
        <f t="shared" si="1"/>
        <v>9080-GSB-SDS-1026045</v>
      </c>
      <c r="J168" s="31" t="s">
        <v>486</v>
      </c>
      <c r="K168" s="27" t="s">
        <v>408</v>
      </c>
      <c r="L168" s="34">
        <v>46105.0</v>
      </c>
      <c r="M168" s="35" t="s">
        <v>139</v>
      </c>
      <c r="N168" s="2">
        <v>1275.0</v>
      </c>
      <c r="O168" s="36" t="s">
        <v>487</v>
      </c>
      <c r="P168" s="37">
        <v>46118.0</v>
      </c>
      <c r="Q168" s="38"/>
      <c r="R168" s="38"/>
      <c r="S168" s="38"/>
      <c r="T168" s="38"/>
      <c r="U168" s="38"/>
      <c r="V168" s="38"/>
    </row>
    <row r="169">
      <c r="A169" s="23">
        <v>45897.0</v>
      </c>
      <c r="B169" s="25">
        <v>2.093501849E9</v>
      </c>
      <c r="C169" s="27" t="s">
        <v>40</v>
      </c>
      <c r="D169" s="28" t="s">
        <v>8</v>
      </c>
      <c r="E169" s="27">
        <v>1.0</v>
      </c>
      <c r="F169" s="27"/>
      <c r="G169" s="27" t="s">
        <v>488</v>
      </c>
      <c r="H169" s="28">
        <v>6767.0</v>
      </c>
      <c r="I169" s="30" t="str">
        <f t="shared" si="1"/>
        <v>6767-GSB-042257953720020161</v>
      </c>
      <c r="J169" s="25" t="s">
        <v>489</v>
      </c>
      <c r="K169" s="25" t="s">
        <v>453</v>
      </c>
      <c r="L169" s="64">
        <v>46105.0</v>
      </c>
      <c r="M169" s="35" t="s">
        <v>139</v>
      </c>
      <c r="N169" s="2">
        <v>3152.0</v>
      </c>
      <c r="O169" s="36" t="s">
        <v>490</v>
      </c>
      <c r="P169" s="37">
        <v>46112.0</v>
      </c>
      <c r="Q169" s="38"/>
      <c r="R169" s="38"/>
      <c r="S169" s="38"/>
      <c r="T169" s="38"/>
      <c r="U169" s="38"/>
      <c r="V169" s="38"/>
    </row>
    <row r="170">
      <c r="A170" s="23">
        <v>45897.0</v>
      </c>
      <c r="B170" s="25">
        <v>2.093501849E9</v>
      </c>
      <c r="C170" s="27" t="s">
        <v>108</v>
      </c>
      <c r="D170" s="28" t="s">
        <v>43</v>
      </c>
      <c r="E170" s="27">
        <v>1.0</v>
      </c>
      <c r="F170" s="27"/>
      <c r="G170" s="27">
        <v>2.0240007987E11</v>
      </c>
      <c r="H170" s="28">
        <v>6596.0</v>
      </c>
      <c r="I170" s="30" t="str">
        <f t="shared" si="1"/>
        <v>6596-GSB-202400079870</v>
      </c>
      <c r="J170" s="31" t="s">
        <v>491</v>
      </c>
      <c r="K170" s="27" t="s">
        <v>492</v>
      </c>
      <c r="L170" s="34">
        <v>46099.0</v>
      </c>
      <c r="M170" s="35" t="s">
        <v>139</v>
      </c>
      <c r="N170" s="2">
        <v>3133.0</v>
      </c>
      <c r="O170" s="36" t="s">
        <v>493</v>
      </c>
      <c r="P170" s="37">
        <v>46168.0</v>
      </c>
      <c r="Q170" s="38"/>
      <c r="R170" s="38"/>
      <c r="S170" s="38"/>
      <c r="T170" s="38"/>
      <c r="U170" s="38"/>
      <c r="V170" s="38"/>
    </row>
    <row r="171">
      <c r="A171" s="23">
        <v>45897.0</v>
      </c>
      <c r="B171" s="25">
        <v>2.093501849E9</v>
      </c>
      <c r="C171" s="27" t="s">
        <v>108</v>
      </c>
      <c r="D171" s="28" t="s">
        <v>43</v>
      </c>
      <c r="E171" s="27">
        <v>1.0</v>
      </c>
      <c r="F171" s="27"/>
      <c r="G171" s="27">
        <v>2.02400078088E11</v>
      </c>
      <c r="H171" s="28">
        <v>6593.0</v>
      </c>
      <c r="I171" s="30" t="str">
        <f t="shared" si="1"/>
        <v>6593-GSB-202400078088</v>
      </c>
      <c r="J171" s="31" t="s">
        <v>491</v>
      </c>
      <c r="K171" s="27" t="s">
        <v>492</v>
      </c>
      <c r="L171" s="34">
        <v>46099.0</v>
      </c>
      <c r="M171" s="35" t="s">
        <v>139</v>
      </c>
      <c r="N171" s="2">
        <v>1145.0</v>
      </c>
      <c r="O171" s="36" t="s">
        <v>494</v>
      </c>
      <c r="P171" s="37">
        <v>46101.0</v>
      </c>
      <c r="Q171" s="38"/>
      <c r="R171" s="38"/>
      <c r="S171" s="38"/>
      <c r="T171" s="38"/>
      <c r="U171" s="38"/>
      <c r="V171" s="38"/>
    </row>
    <row r="172">
      <c r="A172" s="23">
        <v>45897.0</v>
      </c>
      <c r="B172" s="25">
        <v>2.093501849E9</v>
      </c>
      <c r="C172" s="27" t="s">
        <v>108</v>
      </c>
      <c r="D172" s="28" t="s">
        <v>43</v>
      </c>
      <c r="E172" s="27">
        <v>1.0</v>
      </c>
      <c r="F172" s="27"/>
      <c r="G172" s="27">
        <v>2.02400079899E11</v>
      </c>
      <c r="H172" s="28">
        <v>6595.0</v>
      </c>
      <c r="I172" s="30" t="str">
        <f t="shared" si="1"/>
        <v>6595-GSB-202400079899</v>
      </c>
      <c r="J172" s="31" t="s">
        <v>491</v>
      </c>
      <c r="K172" s="27" t="s">
        <v>492</v>
      </c>
      <c r="L172" s="34">
        <v>46099.0</v>
      </c>
      <c r="M172" s="35" t="s">
        <v>139</v>
      </c>
      <c r="N172" s="2">
        <v>1142.0</v>
      </c>
      <c r="O172" s="36" t="s">
        <v>495</v>
      </c>
      <c r="P172" s="37">
        <v>46101.0</v>
      </c>
      <c r="Q172" s="38"/>
      <c r="R172" s="38"/>
      <c r="S172" s="38"/>
      <c r="T172" s="38"/>
      <c r="U172" s="38"/>
      <c r="V172" s="38"/>
    </row>
    <row r="173">
      <c r="A173" s="23">
        <v>45897.0</v>
      </c>
      <c r="B173" s="25">
        <v>2.093501849E9</v>
      </c>
      <c r="C173" s="27" t="s">
        <v>108</v>
      </c>
      <c r="D173" s="28" t="s">
        <v>43</v>
      </c>
      <c r="E173" s="27">
        <v>1.0</v>
      </c>
      <c r="F173" s="27"/>
      <c r="G173" s="27">
        <v>2.02400079828E11</v>
      </c>
      <c r="H173" s="28">
        <v>6598.0</v>
      </c>
      <c r="I173" s="30" t="str">
        <f t="shared" si="1"/>
        <v>6598-GSB-202400079828</v>
      </c>
      <c r="J173" s="31" t="s">
        <v>491</v>
      </c>
      <c r="K173" s="27" t="s">
        <v>492</v>
      </c>
      <c r="L173" s="34">
        <v>46099.0</v>
      </c>
      <c r="M173" s="35" t="s">
        <v>139</v>
      </c>
      <c r="N173" s="2">
        <v>1143.0</v>
      </c>
      <c r="O173" s="36" t="s">
        <v>496</v>
      </c>
      <c r="P173" s="37">
        <v>46101.0</v>
      </c>
      <c r="Q173" s="38"/>
      <c r="R173" s="38"/>
      <c r="S173" s="38"/>
      <c r="T173" s="38"/>
      <c r="U173" s="38"/>
      <c r="V173" s="38"/>
    </row>
    <row r="174">
      <c r="A174" s="23">
        <v>45897.0</v>
      </c>
      <c r="B174" s="25">
        <v>2.093501849E9</v>
      </c>
      <c r="C174" s="27" t="s">
        <v>108</v>
      </c>
      <c r="D174" s="28" t="s">
        <v>43</v>
      </c>
      <c r="E174" s="27">
        <v>1.0</v>
      </c>
      <c r="F174" s="27"/>
      <c r="G174" s="27">
        <v>2.02400079881E11</v>
      </c>
      <c r="H174" s="28">
        <v>6603.0</v>
      </c>
      <c r="I174" s="30" t="str">
        <f t="shared" si="1"/>
        <v>6603-GSB-202400079881</v>
      </c>
      <c r="J174" s="31" t="s">
        <v>491</v>
      </c>
      <c r="K174" s="27" t="s">
        <v>492</v>
      </c>
      <c r="L174" s="34">
        <v>46099.0</v>
      </c>
      <c r="M174" s="35" t="s">
        <v>139</v>
      </c>
      <c r="N174" s="2">
        <v>1141.0</v>
      </c>
      <c r="O174" s="36" t="s">
        <v>497</v>
      </c>
      <c r="P174" s="37">
        <v>46101.0</v>
      </c>
      <c r="Q174" s="38"/>
      <c r="R174" s="38"/>
      <c r="S174" s="38"/>
      <c r="T174" s="38"/>
      <c r="U174" s="38"/>
      <c r="V174" s="38"/>
    </row>
    <row r="175">
      <c r="A175" s="23">
        <v>45897.0</v>
      </c>
      <c r="B175" s="25">
        <v>2.093501849E9</v>
      </c>
      <c r="C175" s="27" t="s">
        <v>108</v>
      </c>
      <c r="D175" s="28" t="s">
        <v>43</v>
      </c>
      <c r="E175" s="27">
        <v>1.0</v>
      </c>
      <c r="F175" s="27"/>
      <c r="G175" s="27">
        <v>2.02400079821E11</v>
      </c>
      <c r="H175" s="28">
        <v>6608.0</v>
      </c>
      <c r="I175" s="30" t="str">
        <f t="shared" si="1"/>
        <v>6608-GSB-202400079821</v>
      </c>
      <c r="J175" s="31" t="s">
        <v>491</v>
      </c>
      <c r="K175" s="27" t="s">
        <v>492</v>
      </c>
      <c r="L175" s="34">
        <v>46099.0</v>
      </c>
      <c r="M175" s="35" t="s">
        <v>139</v>
      </c>
      <c r="N175" s="2">
        <v>1144.0</v>
      </c>
      <c r="O175" s="36" t="s">
        <v>498</v>
      </c>
      <c r="P175" s="37">
        <v>46101.0</v>
      </c>
      <c r="Q175" s="38"/>
      <c r="R175" s="38"/>
      <c r="S175" s="38"/>
      <c r="T175" s="38"/>
      <c r="U175" s="38"/>
      <c r="V175" s="38"/>
    </row>
    <row r="176">
      <c r="A176" s="23">
        <v>45897.0</v>
      </c>
      <c r="B176" s="25">
        <v>2.093501849E9</v>
      </c>
      <c r="C176" s="27" t="s">
        <v>108</v>
      </c>
      <c r="D176" s="28" t="s">
        <v>43</v>
      </c>
      <c r="E176" s="27">
        <v>1.0</v>
      </c>
      <c r="F176" s="27"/>
      <c r="G176" s="27">
        <v>2.02400102708E11</v>
      </c>
      <c r="H176" s="28">
        <v>6599.0</v>
      </c>
      <c r="I176" s="30" t="str">
        <f t="shared" si="1"/>
        <v>6599-GSB-202400102708</v>
      </c>
      <c r="J176" s="31" t="s">
        <v>491</v>
      </c>
      <c r="K176" s="27" t="s">
        <v>492</v>
      </c>
      <c r="L176" s="34">
        <v>46099.0</v>
      </c>
      <c r="M176" s="35" t="s">
        <v>139</v>
      </c>
      <c r="N176" s="2">
        <v>3134.0</v>
      </c>
      <c r="O176" s="36" t="s">
        <v>501</v>
      </c>
      <c r="P176" s="37">
        <v>46169.0</v>
      </c>
      <c r="Q176" s="38"/>
      <c r="R176" s="38"/>
      <c r="S176" s="38"/>
      <c r="T176" s="38"/>
      <c r="U176" s="38"/>
      <c r="V176" s="38"/>
    </row>
    <row r="177">
      <c r="A177" s="80">
        <v>46105.0</v>
      </c>
      <c r="B177" s="81">
        <v>169119.0</v>
      </c>
      <c r="C177" s="82" t="s">
        <v>505</v>
      </c>
      <c r="D177" s="83" t="s">
        <v>507</v>
      </c>
      <c r="E177" s="82">
        <v>1.0</v>
      </c>
      <c r="F177" s="82"/>
      <c r="G177" s="82"/>
      <c r="H177" s="83">
        <v>10121.0</v>
      </c>
      <c r="I177" s="84" t="str">
        <f t="shared" si="1"/>
        <v>10121-GSB-</v>
      </c>
      <c r="J177" s="85" t="s">
        <v>508</v>
      </c>
      <c r="K177" s="86" t="s">
        <v>492</v>
      </c>
      <c r="L177" s="87">
        <v>46106.0</v>
      </c>
      <c r="M177" s="88" t="s">
        <v>510</v>
      </c>
      <c r="N177" s="2"/>
      <c r="O177" s="36"/>
      <c r="P177" s="37"/>
      <c r="Q177" s="38"/>
      <c r="R177" s="38"/>
      <c r="S177" s="38"/>
      <c r="T177" s="38"/>
      <c r="U177" s="38"/>
      <c r="V177" s="38"/>
    </row>
    <row r="178">
      <c r="A178" s="80">
        <v>46105.0</v>
      </c>
      <c r="B178" s="81">
        <v>169119.0</v>
      </c>
      <c r="C178" s="82" t="s">
        <v>505</v>
      </c>
      <c r="D178" s="83" t="s">
        <v>507</v>
      </c>
      <c r="E178" s="82">
        <v>1.0</v>
      </c>
      <c r="F178" s="82"/>
      <c r="G178" s="82"/>
      <c r="H178" s="83">
        <v>10122.0</v>
      </c>
      <c r="I178" s="84" t="str">
        <f t="shared" si="1"/>
        <v>10122-GSB-</v>
      </c>
      <c r="J178" s="85" t="s">
        <v>508</v>
      </c>
      <c r="K178" s="86" t="s">
        <v>492</v>
      </c>
      <c r="L178" s="87">
        <v>46106.0</v>
      </c>
      <c r="M178" s="88" t="s">
        <v>510</v>
      </c>
      <c r="N178" s="2"/>
      <c r="O178" s="36"/>
      <c r="P178" s="37"/>
      <c r="Q178" s="38"/>
      <c r="R178" s="38"/>
      <c r="S178" s="38"/>
      <c r="T178" s="38"/>
      <c r="U178" s="38"/>
      <c r="V178" s="38"/>
    </row>
    <row r="179">
      <c r="A179" s="80">
        <v>46105.0</v>
      </c>
      <c r="B179" s="81">
        <v>169119.0</v>
      </c>
      <c r="C179" s="82" t="s">
        <v>505</v>
      </c>
      <c r="D179" s="83" t="s">
        <v>507</v>
      </c>
      <c r="E179" s="82">
        <v>1.0</v>
      </c>
      <c r="F179" s="82"/>
      <c r="G179" s="82"/>
      <c r="H179" s="83">
        <v>10119.0</v>
      </c>
      <c r="I179" s="84" t="str">
        <f t="shared" si="1"/>
        <v>10119-GSB-</v>
      </c>
      <c r="J179" s="85" t="s">
        <v>508</v>
      </c>
      <c r="K179" s="86" t="s">
        <v>492</v>
      </c>
      <c r="L179" s="87">
        <v>46106.0</v>
      </c>
      <c r="M179" s="88" t="s">
        <v>510</v>
      </c>
      <c r="N179" s="2"/>
      <c r="O179" s="36"/>
      <c r="P179" s="37"/>
      <c r="Q179" s="38"/>
      <c r="R179" s="38"/>
      <c r="S179" s="38"/>
      <c r="T179" s="38"/>
      <c r="U179" s="38"/>
      <c r="V179" s="38"/>
    </row>
    <row r="180">
      <c r="A180" s="80">
        <v>46105.0</v>
      </c>
      <c r="B180" s="81">
        <v>169119.0</v>
      </c>
      <c r="C180" s="82" t="s">
        <v>505</v>
      </c>
      <c r="D180" s="83" t="s">
        <v>507</v>
      </c>
      <c r="E180" s="82">
        <v>1.0</v>
      </c>
      <c r="F180" s="82"/>
      <c r="G180" s="82"/>
      <c r="H180" s="83">
        <v>10120.0</v>
      </c>
      <c r="I180" s="84" t="str">
        <f t="shared" si="1"/>
        <v>10120-GSB-</v>
      </c>
      <c r="J180" s="85" t="s">
        <v>508</v>
      </c>
      <c r="K180" s="86" t="s">
        <v>492</v>
      </c>
      <c r="L180" s="87">
        <v>46106.0</v>
      </c>
      <c r="M180" s="88" t="s">
        <v>510</v>
      </c>
      <c r="N180" s="2"/>
      <c r="O180" s="36"/>
      <c r="P180" s="37"/>
      <c r="Q180" s="38"/>
      <c r="R180" s="38"/>
      <c r="S180" s="38"/>
      <c r="T180" s="38"/>
      <c r="U180" s="38"/>
      <c r="V180" s="38"/>
    </row>
    <row r="181">
      <c r="A181" s="80">
        <v>46105.0</v>
      </c>
      <c r="B181" s="81">
        <v>169119.0</v>
      </c>
      <c r="C181" s="82" t="s">
        <v>516</v>
      </c>
      <c r="D181" s="83" t="s">
        <v>517</v>
      </c>
      <c r="E181" s="82">
        <v>1.0</v>
      </c>
      <c r="F181" s="82"/>
      <c r="G181" s="82"/>
      <c r="H181" s="83">
        <v>10115.0</v>
      </c>
      <c r="I181" s="84" t="str">
        <f t="shared" si="1"/>
        <v>10115-GSB-</v>
      </c>
      <c r="J181" s="85" t="s">
        <v>508</v>
      </c>
      <c r="K181" s="86" t="s">
        <v>492</v>
      </c>
      <c r="L181" s="87">
        <v>46106.0</v>
      </c>
      <c r="M181" s="88" t="s">
        <v>510</v>
      </c>
      <c r="N181" s="2"/>
      <c r="O181" s="36"/>
      <c r="P181" s="37"/>
      <c r="Q181" s="38"/>
      <c r="R181" s="38"/>
      <c r="S181" s="38"/>
      <c r="T181" s="38"/>
      <c r="U181" s="38"/>
      <c r="V181" s="38"/>
    </row>
    <row r="182">
      <c r="A182" s="80">
        <v>46105.0</v>
      </c>
      <c r="B182" s="81">
        <v>169119.0</v>
      </c>
      <c r="C182" s="82" t="s">
        <v>516</v>
      </c>
      <c r="D182" s="83" t="s">
        <v>517</v>
      </c>
      <c r="E182" s="82">
        <v>1.0</v>
      </c>
      <c r="F182" s="82"/>
      <c r="G182" s="82"/>
      <c r="H182" s="83">
        <v>10116.0</v>
      </c>
      <c r="I182" s="84" t="str">
        <f t="shared" si="1"/>
        <v>10116-GSB-</v>
      </c>
      <c r="J182" s="85" t="s">
        <v>508</v>
      </c>
      <c r="K182" s="86" t="s">
        <v>492</v>
      </c>
      <c r="L182" s="87">
        <v>46106.0</v>
      </c>
      <c r="M182" s="88" t="s">
        <v>510</v>
      </c>
      <c r="N182" s="2"/>
      <c r="O182" s="36"/>
      <c r="P182" s="37"/>
      <c r="Q182" s="38"/>
      <c r="R182" s="38"/>
      <c r="S182" s="38"/>
      <c r="T182" s="38"/>
      <c r="U182" s="38"/>
      <c r="V182" s="38"/>
    </row>
    <row r="183">
      <c r="A183" s="80">
        <v>46105.0</v>
      </c>
      <c r="B183" s="81">
        <v>169119.0</v>
      </c>
      <c r="C183" s="82" t="s">
        <v>516</v>
      </c>
      <c r="D183" s="83" t="s">
        <v>517</v>
      </c>
      <c r="E183" s="82">
        <v>1.0</v>
      </c>
      <c r="F183" s="82"/>
      <c r="G183" s="82"/>
      <c r="H183" s="83">
        <v>10117.0</v>
      </c>
      <c r="I183" s="84" t="str">
        <f t="shared" si="1"/>
        <v>10117-GSB-</v>
      </c>
      <c r="J183" s="85" t="s">
        <v>508</v>
      </c>
      <c r="K183" s="86" t="s">
        <v>492</v>
      </c>
      <c r="L183" s="87">
        <v>46106.0</v>
      </c>
      <c r="M183" s="88" t="s">
        <v>510</v>
      </c>
      <c r="N183" s="2"/>
      <c r="O183" s="36"/>
      <c r="P183" s="37"/>
      <c r="Q183" s="38"/>
      <c r="R183" s="38"/>
      <c r="S183" s="38"/>
      <c r="T183" s="38"/>
      <c r="U183" s="38"/>
      <c r="V183" s="38"/>
    </row>
    <row r="184">
      <c r="A184" s="80">
        <v>46105.0</v>
      </c>
      <c r="B184" s="81">
        <v>169119.0</v>
      </c>
      <c r="C184" s="82" t="s">
        <v>516</v>
      </c>
      <c r="D184" s="83" t="s">
        <v>517</v>
      </c>
      <c r="E184" s="82">
        <v>1.0</v>
      </c>
      <c r="F184" s="82"/>
      <c r="G184" s="82"/>
      <c r="H184" s="83">
        <v>10118.0</v>
      </c>
      <c r="I184" s="84" t="str">
        <f t="shared" si="1"/>
        <v>10118-GSB-</v>
      </c>
      <c r="J184" s="85" t="s">
        <v>508</v>
      </c>
      <c r="K184" s="86" t="s">
        <v>492</v>
      </c>
      <c r="L184" s="87">
        <v>46106.0</v>
      </c>
      <c r="M184" s="88" t="s">
        <v>510</v>
      </c>
      <c r="N184" s="2"/>
      <c r="O184" s="36"/>
      <c r="P184" s="37"/>
      <c r="Q184" s="38"/>
      <c r="R184" s="38"/>
      <c r="S184" s="38"/>
      <c r="T184" s="38"/>
      <c r="U184" s="38"/>
      <c r="V184" s="38"/>
    </row>
    <row r="185">
      <c r="A185" s="75">
        <v>46108.0</v>
      </c>
      <c r="B185" s="27" t="s">
        <v>94</v>
      </c>
      <c r="C185" s="27">
        <v>4.060039105707E12</v>
      </c>
      <c r="D185" s="28" t="s">
        <v>525</v>
      </c>
      <c r="E185" s="27">
        <v>1.0</v>
      </c>
      <c r="F185" s="27"/>
      <c r="G185" s="27" t="s">
        <v>526</v>
      </c>
      <c r="H185" s="28">
        <v>10123.0</v>
      </c>
      <c r="I185" s="30" t="str">
        <f t="shared" si="1"/>
        <v>10123-GSB-042180247323100047</v>
      </c>
      <c r="J185" s="31" t="s">
        <v>527</v>
      </c>
      <c r="K185" s="27" t="s">
        <v>152</v>
      </c>
      <c r="L185" s="34">
        <v>46109.0</v>
      </c>
      <c r="M185" s="35" t="s">
        <v>139</v>
      </c>
      <c r="N185" s="2">
        <v>2635.0</v>
      </c>
      <c r="O185" s="36" t="s">
        <v>529</v>
      </c>
      <c r="P185" s="37">
        <v>46120.0</v>
      </c>
      <c r="Q185" s="38"/>
      <c r="R185" s="38"/>
      <c r="S185" s="38"/>
      <c r="T185" s="38"/>
      <c r="U185" s="38"/>
      <c r="V185" s="38"/>
    </row>
    <row r="186">
      <c r="A186" s="75">
        <v>46108.0</v>
      </c>
      <c r="B186" s="27" t="s">
        <v>94</v>
      </c>
      <c r="C186" s="27" t="s">
        <v>292</v>
      </c>
      <c r="D186" s="28" t="s">
        <v>530</v>
      </c>
      <c r="E186" s="27">
        <v>1.0</v>
      </c>
      <c r="F186" s="27"/>
      <c r="G186" s="27" t="s">
        <v>531</v>
      </c>
      <c r="H186" s="28">
        <v>10125.0</v>
      </c>
      <c r="I186" s="30" t="str">
        <f t="shared" si="1"/>
        <v>10125-GSB-042174647329100029</v>
      </c>
      <c r="J186" s="31" t="s">
        <v>527</v>
      </c>
      <c r="K186" s="27" t="s">
        <v>152</v>
      </c>
      <c r="L186" s="34">
        <v>46109.0</v>
      </c>
      <c r="M186" s="35" t="s">
        <v>139</v>
      </c>
      <c r="N186" s="2">
        <v>2635.0</v>
      </c>
      <c r="O186" s="36" t="s">
        <v>529</v>
      </c>
      <c r="P186" s="37">
        <v>46120.0</v>
      </c>
      <c r="Q186" s="38"/>
      <c r="R186" s="38"/>
      <c r="S186" s="38"/>
      <c r="T186" s="38"/>
      <c r="U186" s="38"/>
      <c r="V186" s="38"/>
    </row>
    <row r="187">
      <c r="A187" s="75">
        <v>46108.0</v>
      </c>
      <c r="B187" s="27" t="s">
        <v>94</v>
      </c>
      <c r="C187" s="27" t="s">
        <v>292</v>
      </c>
      <c r="D187" s="28" t="s">
        <v>530</v>
      </c>
      <c r="E187" s="27">
        <v>1.0</v>
      </c>
      <c r="F187" s="27"/>
      <c r="G187" s="27" t="s">
        <v>533</v>
      </c>
      <c r="H187" s="28">
        <v>10124.0</v>
      </c>
      <c r="I187" s="30" t="str">
        <f t="shared" si="1"/>
        <v>10124-GSB-042174644022100006</v>
      </c>
      <c r="J187" s="31" t="s">
        <v>527</v>
      </c>
      <c r="K187" s="27" t="s">
        <v>152</v>
      </c>
      <c r="L187" s="34">
        <v>46109.0</v>
      </c>
      <c r="M187" s="35" t="s">
        <v>139</v>
      </c>
      <c r="N187" s="2">
        <v>2635.0</v>
      </c>
      <c r="O187" s="36" t="s">
        <v>529</v>
      </c>
      <c r="P187" s="37">
        <v>46120.0</v>
      </c>
      <c r="Q187" s="38"/>
      <c r="R187" s="38"/>
      <c r="S187" s="38"/>
      <c r="T187" s="38"/>
      <c r="U187" s="38"/>
      <c r="V187" s="38"/>
    </row>
    <row r="188">
      <c r="A188" s="75">
        <v>46108.0</v>
      </c>
      <c r="B188" s="27" t="s">
        <v>35</v>
      </c>
      <c r="C188" s="27" t="s">
        <v>35</v>
      </c>
      <c r="D188" s="28" t="s">
        <v>535</v>
      </c>
      <c r="E188" s="27">
        <v>1.0</v>
      </c>
      <c r="F188" s="27"/>
      <c r="G188" s="27" t="s">
        <v>35</v>
      </c>
      <c r="H188" s="28">
        <v>10126.0</v>
      </c>
      <c r="I188" s="30" t="str">
        <f t="shared" si="1"/>
        <v>10126-GSB-N/A</v>
      </c>
      <c r="J188" s="31" t="s">
        <v>527</v>
      </c>
      <c r="K188" s="27" t="s">
        <v>152</v>
      </c>
      <c r="L188" s="34">
        <v>46109.0</v>
      </c>
      <c r="M188" s="35" t="s">
        <v>139</v>
      </c>
      <c r="N188" s="2">
        <v>2635.0</v>
      </c>
      <c r="O188" s="36" t="s">
        <v>529</v>
      </c>
      <c r="P188" s="37">
        <v>46120.0</v>
      </c>
      <c r="Q188" s="38"/>
      <c r="R188" s="38"/>
      <c r="S188" s="38"/>
      <c r="T188" s="38"/>
      <c r="U188" s="38"/>
      <c r="V188" s="38"/>
    </row>
    <row r="189">
      <c r="A189" s="23">
        <v>45897.0</v>
      </c>
      <c r="B189" s="25">
        <v>2.093501849E9</v>
      </c>
      <c r="C189" s="27" t="s">
        <v>352</v>
      </c>
      <c r="D189" s="28" t="s">
        <v>59</v>
      </c>
      <c r="E189" s="27">
        <v>1.0</v>
      </c>
      <c r="F189" s="27"/>
      <c r="G189" s="27" t="s">
        <v>536</v>
      </c>
      <c r="H189" s="28">
        <v>1268.0</v>
      </c>
      <c r="I189" s="30" t="str">
        <f t="shared" si="1"/>
        <v>1268-GSB-042186047511100031</v>
      </c>
      <c r="J189" s="31" t="s">
        <v>527</v>
      </c>
      <c r="K189" s="27" t="s">
        <v>152</v>
      </c>
      <c r="L189" s="34">
        <v>46109.0</v>
      </c>
      <c r="M189" s="35" t="s">
        <v>139</v>
      </c>
      <c r="N189" s="2">
        <v>2635.0</v>
      </c>
      <c r="O189" s="36" t="s">
        <v>529</v>
      </c>
      <c r="P189" s="37">
        <v>46120.0</v>
      </c>
      <c r="Q189" s="38"/>
      <c r="R189" s="38"/>
      <c r="S189" s="38"/>
      <c r="T189" s="38"/>
      <c r="U189" s="38"/>
      <c r="V189" s="38"/>
    </row>
    <row r="190">
      <c r="A190" s="23">
        <v>45897.0</v>
      </c>
      <c r="B190" s="25">
        <v>2.093501849E9</v>
      </c>
      <c r="C190" s="27" t="s">
        <v>352</v>
      </c>
      <c r="D190" s="28" t="s">
        <v>59</v>
      </c>
      <c r="E190" s="27">
        <v>1.0</v>
      </c>
      <c r="F190" s="27"/>
      <c r="G190" s="27" t="s">
        <v>537</v>
      </c>
      <c r="H190" s="28">
        <v>1252.0</v>
      </c>
      <c r="I190" s="30" t="str">
        <f t="shared" si="1"/>
        <v>1252-GSB-042186047511100004</v>
      </c>
      <c r="J190" s="31" t="s">
        <v>527</v>
      </c>
      <c r="K190" s="27" t="s">
        <v>152</v>
      </c>
      <c r="L190" s="34">
        <v>46109.0</v>
      </c>
      <c r="M190" s="35" t="s">
        <v>139</v>
      </c>
      <c r="N190" s="2">
        <v>2635.0</v>
      </c>
      <c r="O190" s="36" t="s">
        <v>529</v>
      </c>
      <c r="P190" s="37">
        <v>46120.0</v>
      </c>
      <c r="Q190" s="38"/>
      <c r="R190" s="38"/>
      <c r="S190" s="38"/>
      <c r="T190" s="38"/>
      <c r="U190" s="38"/>
      <c r="V190" s="38"/>
    </row>
    <row r="191">
      <c r="A191" s="75">
        <v>46087.0</v>
      </c>
      <c r="B191" s="27" t="s">
        <v>467</v>
      </c>
      <c r="C191" s="27">
        <v>6.76544009023E11</v>
      </c>
      <c r="D191" s="28" t="s">
        <v>47</v>
      </c>
      <c r="E191" s="27">
        <v>1.0</v>
      </c>
      <c r="F191" s="27"/>
      <c r="G191" s="27" t="s">
        <v>35</v>
      </c>
      <c r="H191" s="28">
        <v>10107.0</v>
      </c>
      <c r="I191" s="30" t="str">
        <f t="shared" si="1"/>
        <v>10107-GSB-N/A</v>
      </c>
      <c r="J191" s="31" t="s">
        <v>527</v>
      </c>
      <c r="K191" s="27" t="s">
        <v>152</v>
      </c>
      <c r="L191" s="34">
        <v>46109.0</v>
      </c>
      <c r="M191" s="35" t="s">
        <v>139</v>
      </c>
      <c r="N191" s="2">
        <v>2635.0</v>
      </c>
      <c r="O191" s="36" t="s">
        <v>529</v>
      </c>
      <c r="P191" s="37">
        <v>46120.0</v>
      </c>
      <c r="Q191" s="38"/>
      <c r="R191" s="38"/>
      <c r="S191" s="38"/>
      <c r="T191" s="38"/>
      <c r="U191" s="38"/>
      <c r="V191" s="38"/>
    </row>
    <row r="192">
      <c r="A192" s="75">
        <v>46087.0</v>
      </c>
      <c r="B192" s="27" t="s">
        <v>467</v>
      </c>
      <c r="C192" s="27">
        <v>6.76544009023E11</v>
      </c>
      <c r="D192" s="28" t="s">
        <v>47</v>
      </c>
      <c r="E192" s="27">
        <v>1.0</v>
      </c>
      <c r="F192" s="27"/>
      <c r="G192" s="27" t="s">
        <v>35</v>
      </c>
      <c r="H192" s="28">
        <v>10111.0</v>
      </c>
      <c r="I192" s="30" t="str">
        <f t="shared" si="1"/>
        <v>10111-GSB-N/A</v>
      </c>
      <c r="J192" s="31" t="s">
        <v>527</v>
      </c>
      <c r="K192" s="27" t="s">
        <v>152</v>
      </c>
      <c r="L192" s="34">
        <v>46109.0</v>
      </c>
      <c r="M192" s="35" t="s">
        <v>139</v>
      </c>
      <c r="N192" s="2">
        <v>2635.0</v>
      </c>
      <c r="O192" s="36" t="s">
        <v>529</v>
      </c>
      <c r="P192" s="37">
        <v>46120.0</v>
      </c>
      <c r="Q192" s="38"/>
      <c r="R192" s="38"/>
      <c r="S192" s="38"/>
      <c r="T192" s="38"/>
      <c r="U192" s="38"/>
      <c r="V192" s="38"/>
    </row>
    <row r="193">
      <c r="A193" s="23">
        <v>46078.0</v>
      </c>
      <c r="B193" s="27" t="s">
        <v>375</v>
      </c>
      <c r="C193" s="27">
        <v>8.86618177071E11</v>
      </c>
      <c r="D193" s="28" t="s">
        <v>67</v>
      </c>
      <c r="E193" s="27">
        <v>1.0</v>
      </c>
      <c r="F193" s="27"/>
      <c r="G193" s="27" t="s">
        <v>35</v>
      </c>
      <c r="H193" s="28">
        <v>10032.0</v>
      </c>
      <c r="I193" s="30" t="str">
        <f t="shared" si="1"/>
        <v>10032-GSB-N/A</v>
      </c>
      <c r="J193" s="31" t="s">
        <v>527</v>
      </c>
      <c r="K193" s="27" t="s">
        <v>152</v>
      </c>
      <c r="L193" s="34">
        <v>46109.0</v>
      </c>
      <c r="M193" s="35" t="s">
        <v>139</v>
      </c>
      <c r="N193" s="2">
        <v>2635.0</v>
      </c>
      <c r="O193" s="36" t="s">
        <v>529</v>
      </c>
      <c r="P193" s="37">
        <v>46120.0</v>
      </c>
      <c r="Q193" s="38"/>
      <c r="R193" s="38"/>
      <c r="S193" s="38"/>
      <c r="T193" s="38"/>
      <c r="U193" s="38"/>
      <c r="V193" s="38"/>
    </row>
    <row r="194">
      <c r="A194" s="23">
        <v>46078.0</v>
      </c>
      <c r="B194" s="27" t="s">
        <v>375</v>
      </c>
      <c r="C194" s="27">
        <v>8.86618177071E11</v>
      </c>
      <c r="D194" s="28" t="s">
        <v>67</v>
      </c>
      <c r="E194" s="27">
        <v>1.0</v>
      </c>
      <c r="F194" s="27"/>
      <c r="G194" s="27" t="s">
        <v>35</v>
      </c>
      <c r="H194" s="28">
        <v>10033.0</v>
      </c>
      <c r="I194" s="30" t="str">
        <f t="shared" si="1"/>
        <v>10033-GSB-N/A</v>
      </c>
      <c r="J194" s="31" t="s">
        <v>527</v>
      </c>
      <c r="K194" s="27" t="s">
        <v>152</v>
      </c>
      <c r="L194" s="34">
        <v>46109.0</v>
      </c>
      <c r="M194" s="35" t="s">
        <v>139</v>
      </c>
      <c r="N194" s="2">
        <v>2635.0</v>
      </c>
      <c r="O194" s="36" t="s">
        <v>529</v>
      </c>
      <c r="P194" s="37">
        <v>46120.0</v>
      </c>
      <c r="Q194" s="38"/>
      <c r="R194" s="38"/>
      <c r="S194" s="38"/>
      <c r="T194" s="38"/>
      <c r="U194" s="38"/>
      <c r="V194" s="38"/>
    </row>
    <row r="195">
      <c r="A195" s="75">
        <v>46085.0</v>
      </c>
      <c r="B195" s="27" t="s">
        <v>345</v>
      </c>
      <c r="C195" s="27">
        <v>8.86618177071E11</v>
      </c>
      <c r="D195" s="28" t="s">
        <v>67</v>
      </c>
      <c r="E195" s="27">
        <v>1.0</v>
      </c>
      <c r="F195" s="27"/>
      <c r="G195" s="27" t="s">
        <v>35</v>
      </c>
      <c r="H195" s="28">
        <v>10090.0</v>
      </c>
      <c r="I195" s="30" t="str">
        <f t="shared" si="1"/>
        <v>10090-GSB-N/A</v>
      </c>
      <c r="J195" s="31" t="s">
        <v>527</v>
      </c>
      <c r="K195" s="27" t="s">
        <v>152</v>
      </c>
      <c r="L195" s="34">
        <v>46109.0</v>
      </c>
      <c r="M195" s="35" t="s">
        <v>139</v>
      </c>
      <c r="N195" s="2">
        <v>2635.0</v>
      </c>
      <c r="O195" s="36" t="s">
        <v>529</v>
      </c>
      <c r="P195" s="37">
        <v>46120.0</v>
      </c>
      <c r="Q195" s="38"/>
      <c r="R195" s="38"/>
      <c r="S195" s="38"/>
      <c r="T195" s="38"/>
      <c r="U195" s="38"/>
      <c r="V195" s="38"/>
    </row>
    <row r="196">
      <c r="A196" s="23">
        <v>46083.0</v>
      </c>
      <c r="B196" s="27" t="s">
        <v>35</v>
      </c>
      <c r="C196" s="27">
        <v>7.703240073126E12</v>
      </c>
      <c r="D196" s="28" t="s">
        <v>333</v>
      </c>
      <c r="E196" s="27">
        <v>1.0</v>
      </c>
      <c r="F196" s="27"/>
      <c r="G196" s="27" t="s">
        <v>35</v>
      </c>
      <c r="H196" s="28">
        <v>10051.0</v>
      </c>
      <c r="I196" s="30" t="str">
        <f t="shared" si="1"/>
        <v>10051-GSB-N/A</v>
      </c>
      <c r="J196" s="31" t="s">
        <v>527</v>
      </c>
      <c r="K196" s="27" t="s">
        <v>152</v>
      </c>
      <c r="L196" s="34">
        <v>46109.0</v>
      </c>
      <c r="M196" s="35" t="s">
        <v>139</v>
      </c>
      <c r="N196" s="2">
        <v>2635.0</v>
      </c>
      <c r="O196" s="36" t="s">
        <v>529</v>
      </c>
      <c r="P196" s="37">
        <v>46120.0</v>
      </c>
      <c r="Q196" s="38"/>
      <c r="R196" s="38"/>
      <c r="S196" s="38"/>
      <c r="T196" s="38"/>
      <c r="U196" s="38"/>
      <c r="V196" s="38"/>
    </row>
    <row r="197">
      <c r="A197" s="75">
        <v>46085.0</v>
      </c>
      <c r="B197" s="27" t="s">
        <v>135</v>
      </c>
      <c r="C197" s="27" t="s">
        <v>340</v>
      </c>
      <c r="D197" s="28" t="s">
        <v>31</v>
      </c>
      <c r="E197" s="27">
        <v>1.0</v>
      </c>
      <c r="F197" s="27"/>
      <c r="G197" s="27" t="s">
        <v>35</v>
      </c>
      <c r="H197" s="28">
        <v>10059.0</v>
      </c>
      <c r="I197" s="30" t="str">
        <f t="shared" si="1"/>
        <v>10059-GSB-N/A</v>
      </c>
      <c r="J197" s="31" t="s">
        <v>527</v>
      </c>
      <c r="K197" s="27" t="s">
        <v>152</v>
      </c>
      <c r="L197" s="34">
        <v>46109.0</v>
      </c>
      <c r="M197" s="35" t="s">
        <v>139</v>
      </c>
      <c r="N197" s="2">
        <v>2637.0</v>
      </c>
      <c r="O197" s="36" t="s">
        <v>529</v>
      </c>
      <c r="P197" s="37">
        <v>46120.0</v>
      </c>
      <c r="Q197" s="38"/>
      <c r="R197" s="38"/>
      <c r="S197" s="38"/>
      <c r="T197" s="38"/>
      <c r="U197" s="38"/>
      <c r="V197" s="38"/>
    </row>
    <row r="198">
      <c r="A198" s="75">
        <v>46085.0</v>
      </c>
      <c r="B198" s="27" t="s">
        <v>135</v>
      </c>
      <c r="C198" s="27" t="s">
        <v>340</v>
      </c>
      <c r="D198" s="28" t="s">
        <v>31</v>
      </c>
      <c r="E198" s="27">
        <v>1.0</v>
      </c>
      <c r="F198" s="27"/>
      <c r="G198" s="27" t="s">
        <v>35</v>
      </c>
      <c r="H198" s="28">
        <v>10060.0</v>
      </c>
      <c r="I198" s="30" t="str">
        <f t="shared" si="1"/>
        <v>10060-GSB-N/A</v>
      </c>
      <c r="J198" s="31" t="s">
        <v>527</v>
      </c>
      <c r="K198" s="27" t="s">
        <v>152</v>
      </c>
      <c r="L198" s="34">
        <v>46109.0</v>
      </c>
      <c r="M198" s="35" t="s">
        <v>139</v>
      </c>
      <c r="N198" s="2">
        <v>2637.0</v>
      </c>
      <c r="O198" s="36" t="s">
        <v>529</v>
      </c>
      <c r="P198" s="37">
        <v>46120.0</v>
      </c>
      <c r="Q198" s="38"/>
      <c r="R198" s="38"/>
      <c r="S198" s="38"/>
      <c r="T198" s="38"/>
      <c r="U198" s="38"/>
      <c r="V198" s="38"/>
    </row>
    <row r="199">
      <c r="A199" s="75">
        <v>46085.0</v>
      </c>
      <c r="B199" s="27" t="s">
        <v>135</v>
      </c>
      <c r="C199" s="27" t="s">
        <v>340</v>
      </c>
      <c r="D199" s="28" t="s">
        <v>31</v>
      </c>
      <c r="E199" s="27">
        <v>1.0</v>
      </c>
      <c r="F199" s="27"/>
      <c r="G199" s="27" t="s">
        <v>35</v>
      </c>
      <c r="H199" s="28">
        <v>10073.0</v>
      </c>
      <c r="I199" s="30" t="str">
        <f t="shared" si="1"/>
        <v>10073-GSB-N/A</v>
      </c>
      <c r="J199" s="31" t="s">
        <v>527</v>
      </c>
      <c r="K199" s="27" t="s">
        <v>152</v>
      </c>
      <c r="L199" s="34">
        <v>46109.0</v>
      </c>
      <c r="M199" s="35" t="s">
        <v>139</v>
      </c>
      <c r="N199" s="2">
        <v>2637.0</v>
      </c>
      <c r="O199" s="36" t="s">
        <v>529</v>
      </c>
      <c r="P199" s="37">
        <v>46120.0</v>
      </c>
      <c r="Q199" s="38"/>
      <c r="R199" s="38"/>
      <c r="S199" s="38"/>
      <c r="T199" s="38"/>
      <c r="U199" s="38"/>
      <c r="V199" s="38"/>
    </row>
    <row r="200">
      <c r="A200" s="23">
        <v>45897.0</v>
      </c>
      <c r="B200" s="25">
        <v>2.093501849E9</v>
      </c>
      <c r="C200" s="27" t="s">
        <v>342</v>
      </c>
      <c r="D200" s="28" t="s">
        <v>51</v>
      </c>
      <c r="E200" s="27">
        <v>1.0</v>
      </c>
      <c r="F200" s="27"/>
      <c r="G200" s="27" t="s">
        <v>539</v>
      </c>
      <c r="H200" s="28">
        <v>1357.0</v>
      </c>
      <c r="I200" s="30" t="str">
        <f t="shared" si="1"/>
        <v>1357-GSB-042239847329100102</v>
      </c>
      <c r="J200" s="31" t="s">
        <v>527</v>
      </c>
      <c r="K200" s="27" t="s">
        <v>152</v>
      </c>
      <c r="L200" s="34">
        <v>46109.0</v>
      </c>
      <c r="M200" s="35" t="s">
        <v>139</v>
      </c>
      <c r="N200" s="2">
        <v>2636.0</v>
      </c>
      <c r="O200" s="36" t="s">
        <v>540</v>
      </c>
      <c r="P200" s="37">
        <v>46120.0</v>
      </c>
      <c r="Q200" s="38"/>
      <c r="R200" s="38"/>
      <c r="S200" s="38"/>
      <c r="T200" s="38"/>
      <c r="U200" s="38"/>
      <c r="V200" s="38"/>
    </row>
    <row r="201">
      <c r="A201" s="23">
        <v>45897.0</v>
      </c>
      <c r="B201" s="25">
        <v>2.093501849E9</v>
      </c>
      <c r="C201" s="27" t="s">
        <v>168</v>
      </c>
      <c r="D201" s="28" t="s">
        <v>6</v>
      </c>
      <c r="E201" s="27">
        <v>1.0</v>
      </c>
      <c r="F201" s="27"/>
      <c r="G201" s="27" t="s">
        <v>542</v>
      </c>
      <c r="H201" s="28">
        <v>1649.0</v>
      </c>
      <c r="I201" s="30" t="str">
        <f t="shared" si="1"/>
        <v>1649-GSB-042247244018010069</v>
      </c>
      <c r="J201" s="31" t="s">
        <v>527</v>
      </c>
      <c r="K201" s="27" t="s">
        <v>152</v>
      </c>
      <c r="L201" s="34">
        <v>46109.0</v>
      </c>
      <c r="M201" s="35" t="s">
        <v>139</v>
      </c>
      <c r="N201" s="2">
        <v>2636.0</v>
      </c>
      <c r="O201" s="36" t="s">
        <v>540</v>
      </c>
      <c r="P201" s="37">
        <v>46120.0</v>
      </c>
      <c r="Q201" s="38"/>
      <c r="R201" s="38"/>
      <c r="S201" s="38"/>
      <c r="T201" s="38"/>
      <c r="U201" s="38"/>
      <c r="V201" s="38"/>
    </row>
    <row r="202">
      <c r="A202" s="75">
        <v>46087.0</v>
      </c>
      <c r="B202" s="27" t="s">
        <v>467</v>
      </c>
      <c r="C202" s="27">
        <v>6.76544009023E11</v>
      </c>
      <c r="D202" s="28" t="s">
        <v>47</v>
      </c>
      <c r="E202" s="27">
        <v>1.0</v>
      </c>
      <c r="F202" s="27"/>
      <c r="G202" s="27" t="s">
        <v>35</v>
      </c>
      <c r="H202" s="28">
        <v>10106.0</v>
      </c>
      <c r="I202" s="30" t="str">
        <f t="shared" si="1"/>
        <v>10106-GSB-N/A</v>
      </c>
      <c r="J202" s="31" t="s">
        <v>544</v>
      </c>
      <c r="K202" s="27" t="s">
        <v>152</v>
      </c>
      <c r="L202" s="34">
        <v>46125.0</v>
      </c>
      <c r="M202" s="35" t="s">
        <v>139</v>
      </c>
      <c r="N202" s="62">
        <v>2645.0</v>
      </c>
      <c r="O202" s="62" t="s">
        <v>546</v>
      </c>
      <c r="P202" s="58">
        <v>46099.0</v>
      </c>
      <c r="Q202" s="38"/>
      <c r="R202" s="38"/>
      <c r="S202" s="38"/>
      <c r="T202" s="38"/>
      <c r="U202" s="38"/>
      <c r="V202" s="38"/>
    </row>
    <row r="203">
      <c r="A203" s="75">
        <v>46085.0</v>
      </c>
      <c r="B203" s="27" t="s">
        <v>345</v>
      </c>
      <c r="C203" s="27">
        <v>8.86618177071E11</v>
      </c>
      <c r="D203" s="28" t="s">
        <v>67</v>
      </c>
      <c r="E203" s="27">
        <v>1.0</v>
      </c>
      <c r="F203" s="27"/>
      <c r="G203" s="27" t="s">
        <v>35</v>
      </c>
      <c r="H203" s="28">
        <v>10080.0</v>
      </c>
      <c r="I203" s="30" t="str">
        <f t="shared" si="1"/>
        <v>10080-GSB-N/A</v>
      </c>
      <c r="J203" s="31" t="s">
        <v>544</v>
      </c>
      <c r="K203" s="27" t="s">
        <v>152</v>
      </c>
      <c r="L203" s="34">
        <v>46125.0</v>
      </c>
      <c r="M203" s="35" t="s">
        <v>139</v>
      </c>
      <c r="N203" s="62">
        <v>2645.0</v>
      </c>
      <c r="O203" s="62" t="s">
        <v>546</v>
      </c>
      <c r="P203" s="58">
        <v>46099.0</v>
      </c>
      <c r="Q203" s="38"/>
      <c r="R203" s="38"/>
      <c r="S203" s="38"/>
      <c r="T203" s="38"/>
      <c r="U203" s="38"/>
      <c r="V203" s="38"/>
    </row>
    <row r="204">
      <c r="A204" s="75">
        <v>46085.0</v>
      </c>
      <c r="B204" s="27" t="s">
        <v>135</v>
      </c>
      <c r="C204" s="27" t="s">
        <v>340</v>
      </c>
      <c r="D204" s="28" t="s">
        <v>31</v>
      </c>
      <c r="E204" s="27">
        <v>1.0</v>
      </c>
      <c r="F204" s="27"/>
      <c r="G204" s="27" t="s">
        <v>35</v>
      </c>
      <c r="H204" s="28">
        <v>10071.0</v>
      </c>
      <c r="I204" s="30" t="str">
        <f t="shared" si="1"/>
        <v>10071-GSB-N/A</v>
      </c>
      <c r="J204" s="31" t="s">
        <v>544</v>
      </c>
      <c r="K204" s="27" t="s">
        <v>152</v>
      </c>
      <c r="L204" s="34">
        <v>46125.0</v>
      </c>
      <c r="M204" s="35" t="s">
        <v>139</v>
      </c>
      <c r="N204" s="62">
        <v>2645.0</v>
      </c>
      <c r="O204" s="62" t="s">
        <v>546</v>
      </c>
      <c r="P204" s="58">
        <v>46099.0</v>
      </c>
      <c r="Q204" s="38"/>
      <c r="R204" s="38"/>
      <c r="S204" s="38"/>
      <c r="T204" s="38"/>
      <c r="U204" s="38"/>
      <c r="V204" s="38"/>
    </row>
    <row r="205">
      <c r="A205" s="75">
        <v>46085.0</v>
      </c>
      <c r="B205" s="27" t="s">
        <v>135</v>
      </c>
      <c r="C205" s="27" t="s">
        <v>340</v>
      </c>
      <c r="D205" s="28" t="s">
        <v>31</v>
      </c>
      <c r="E205" s="27">
        <v>1.0</v>
      </c>
      <c r="F205" s="27"/>
      <c r="G205" s="27" t="s">
        <v>35</v>
      </c>
      <c r="H205" s="28">
        <v>10072.0</v>
      </c>
      <c r="I205" s="30" t="str">
        <f t="shared" si="1"/>
        <v>10072-GSB-N/A</v>
      </c>
      <c r="J205" s="31" t="s">
        <v>544</v>
      </c>
      <c r="K205" s="27" t="s">
        <v>152</v>
      </c>
      <c r="L205" s="34">
        <v>46125.0</v>
      </c>
      <c r="M205" s="35" t="s">
        <v>139</v>
      </c>
      <c r="N205" s="62">
        <v>2645.0</v>
      </c>
      <c r="O205" s="62" t="s">
        <v>546</v>
      </c>
      <c r="P205" s="58">
        <v>46099.0</v>
      </c>
      <c r="Q205" s="38"/>
      <c r="R205" s="38"/>
      <c r="S205" s="38"/>
      <c r="T205" s="38"/>
      <c r="U205" s="38"/>
      <c r="V205" s="38"/>
    </row>
    <row r="206">
      <c r="A206" s="27" t="s">
        <v>550</v>
      </c>
      <c r="B206" s="27" t="s">
        <v>35</v>
      </c>
      <c r="C206" s="27" t="s">
        <v>35</v>
      </c>
      <c r="D206" s="28" t="s">
        <v>481</v>
      </c>
      <c r="E206" s="27">
        <v>1.0</v>
      </c>
      <c r="F206" s="27"/>
      <c r="G206" s="27" t="s">
        <v>35</v>
      </c>
      <c r="H206" s="28">
        <v>10127.0</v>
      </c>
      <c r="I206" s="30" t="str">
        <f t="shared" si="1"/>
        <v>10127-GSB-N/A</v>
      </c>
      <c r="J206" s="25" t="s">
        <v>551</v>
      </c>
      <c r="K206" s="25" t="s">
        <v>55</v>
      </c>
      <c r="L206" s="64">
        <v>46141.0</v>
      </c>
      <c r="M206" s="35" t="s">
        <v>139</v>
      </c>
      <c r="N206" s="2">
        <v>3454.0</v>
      </c>
      <c r="O206" s="36" t="s">
        <v>552</v>
      </c>
      <c r="P206" s="37">
        <v>46142.0</v>
      </c>
      <c r="Q206" s="38"/>
      <c r="R206" s="38"/>
      <c r="S206" s="38"/>
      <c r="T206" s="38"/>
      <c r="U206" s="38"/>
      <c r="V206" s="38"/>
    </row>
    <row r="207">
      <c r="A207" s="23">
        <v>45897.0</v>
      </c>
      <c r="B207" s="25">
        <v>2.093501849E9</v>
      </c>
      <c r="C207" s="27" t="s">
        <v>148</v>
      </c>
      <c r="D207" s="28" t="s">
        <v>4</v>
      </c>
      <c r="E207" s="27">
        <v>1.0</v>
      </c>
      <c r="F207" s="27"/>
      <c r="G207" s="27" t="s">
        <v>35</v>
      </c>
      <c r="H207" s="28">
        <v>6835.0</v>
      </c>
      <c r="I207" s="30" t="str">
        <f t="shared" si="1"/>
        <v>6835-GSB-N/A</v>
      </c>
      <c r="J207" s="25" t="s">
        <v>551</v>
      </c>
      <c r="K207" s="25" t="s">
        <v>55</v>
      </c>
      <c r="L207" s="64">
        <v>46141.0</v>
      </c>
      <c r="M207" s="35" t="s">
        <v>139</v>
      </c>
      <c r="N207" s="2">
        <v>3482.0</v>
      </c>
      <c r="O207" s="36" t="s">
        <v>337</v>
      </c>
      <c r="P207" s="63">
        <v>46191.0</v>
      </c>
      <c r="Q207" s="38"/>
      <c r="R207" s="38"/>
      <c r="S207" s="38"/>
      <c r="T207" s="38"/>
      <c r="U207" s="38"/>
      <c r="V207" s="38"/>
    </row>
    <row r="208">
      <c r="A208" s="23">
        <v>45897.0</v>
      </c>
      <c r="B208" s="25">
        <v>2.093501849E9</v>
      </c>
      <c r="C208" s="27" t="s">
        <v>148</v>
      </c>
      <c r="D208" s="28" t="s">
        <v>4</v>
      </c>
      <c r="E208" s="27">
        <v>1.0</v>
      </c>
      <c r="F208" s="27"/>
      <c r="G208" s="27" t="s">
        <v>35</v>
      </c>
      <c r="H208" s="28">
        <v>6818.0</v>
      </c>
      <c r="I208" s="30" t="str">
        <f t="shared" si="1"/>
        <v>6818-GSB-N/A</v>
      </c>
      <c r="J208" s="25" t="s">
        <v>551</v>
      </c>
      <c r="K208" s="25" t="s">
        <v>55</v>
      </c>
      <c r="L208" s="64">
        <v>46141.0</v>
      </c>
      <c r="M208" s="35" t="s">
        <v>139</v>
      </c>
      <c r="N208" s="2">
        <v>3455.0</v>
      </c>
      <c r="O208" s="36" t="s">
        <v>556</v>
      </c>
      <c r="P208" s="37">
        <v>46144.0</v>
      </c>
      <c r="Q208" s="38"/>
      <c r="R208" s="38"/>
      <c r="S208" s="38"/>
      <c r="T208" s="38"/>
      <c r="U208" s="38"/>
      <c r="V208" s="38"/>
    </row>
    <row r="209">
      <c r="A209" s="23">
        <v>45897.0</v>
      </c>
      <c r="B209" s="25">
        <v>2.093501849E9</v>
      </c>
      <c r="C209" s="27" t="s">
        <v>108</v>
      </c>
      <c r="D209" s="28" t="s">
        <v>43</v>
      </c>
      <c r="E209" s="27">
        <v>1.0</v>
      </c>
      <c r="F209" s="27"/>
      <c r="G209" s="27">
        <v>2.02400077961E11</v>
      </c>
      <c r="H209" s="28">
        <v>6609.0</v>
      </c>
      <c r="I209" s="30" t="str">
        <f t="shared" si="1"/>
        <v>6609-GSB-202400077961</v>
      </c>
      <c r="J209" s="25" t="s">
        <v>551</v>
      </c>
      <c r="K209" s="25" t="s">
        <v>55</v>
      </c>
      <c r="L209" s="64">
        <v>46141.0</v>
      </c>
      <c r="M209" s="35" t="s">
        <v>139</v>
      </c>
      <c r="N209" s="2">
        <v>3458.0</v>
      </c>
      <c r="O209" s="36" t="s">
        <v>558</v>
      </c>
      <c r="P209" s="37">
        <v>46149.0</v>
      </c>
      <c r="Q209" s="38"/>
      <c r="R209" s="38"/>
      <c r="S209" s="38"/>
      <c r="T209" s="38"/>
      <c r="U209" s="38"/>
      <c r="V209" s="38"/>
    </row>
    <row r="210">
      <c r="A210" s="23">
        <v>45897.0</v>
      </c>
      <c r="B210" s="25">
        <v>2.093501849E9</v>
      </c>
      <c r="C210" s="27" t="s">
        <v>40</v>
      </c>
      <c r="D210" s="28" t="s">
        <v>8</v>
      </c>
      <c r="E210" s="27">
        <v>1.0</v>
      </c>
      <c r="F210" s="27"/>
      <c r="G210" s="27" t="s">
        <v>559</v>
      </c>
      <c r="H210" s="28">
        <v>5965.0</v>
      </c>
      <c r="I210" s="30" t="str">
        <f t="shared" si="1"/>
        <v>5965-GSB-042257948004020025</v>
      </c>
      <c r="J210" s="25" t="s">
        <v>551</v>
      </c>
      <c r="K210" s="25" t="s">
        <v>55</v>
      </c>
      <c r="L210" s="64">
        <v>46141.0</v>
      </c>
      <c r="M210" s="35" t="s">
        <v>139</v>
      </c>
      <c r="N210" s="2">
        <v>3457.0</v>
      </c>
      <c r="O210" s="36" t="s">
        <v>560</v>
      </c>
      <c r="P210" s="37">
        <v>46148.0</v>
      </c>
      <c r="Q210" s="38"/>
      <c r="R210" s="38"/>
      <c r="S210" s="38"/>
      <c r="T210" s="38"/>
      <c r="U210" s="38"/>
      <c r="V210" s="38"/>
    </row>
    <row r="211">
      <c r="A211" s="23">
        <v>45897.0</v>
      </c>
      <c r="B211" s="27" t="s">
        <v>35</v>
      </c>
      <c r="C211" s="27" t="s">
        <v>143</v>
      </c>
      <c r="D211" s="28" t="s">
        <v>10</v>
      </c>
      <c r="E211" s="27">
        <v>1.0</v>
      </c>
      <c r="F211" s="27"/>
      <c r="G211" s="27">
        <v>3.102001045E9</v>
      </c>
      <c r="H211" s="28">
        <v>7014.0</v>
      </c>
      <c r="I211" s="30" t="str">
        <f t="shared" si="1"/>
        <v>7014-GSB-3102001045</v>
      </c>
      <c r="J211" s="25" t="s">
        <v>551</v>
      </c>
      <c r="K211" s="25" t="s">
        <v>55</v>
      </c>
      <c r="L211" s="64">
        <v>46141.0</v>
      </c>
      <c r="M211" s="35" t="s">
        <v>139</v>
      </c>
      <c r="N211" s="2">
        <v>3455.0</v>
      </c>
      <c r="O211" s="36" t="s">
        <v>556</v>
      </c>
      <c r="P211" s="37">
        <v>46144.0</v>
      </c>
      <c r="Q211" s="38"/>
      <c r="R211" s="38"/>
      <c r="S211" s="38"/>
      <c r="T211" s="38"/>
      <c r="U211" s="38"/>
      <c r="V211" s="38"/>
    </row>
    <row r="212">
      <c r="A212" s="23">
        <v>45897.0</v>
      </c>
      <c r="B212" s="27" t="s">
        <v>35</v>
      </c>
      <c r="C212" s="27" t="s">
        <v>143</v>
      </c>
      <c r="D212" s="28" t="s">
        <v>10</v>
      </c>
      <c r="E212" s="27">
        <v>1.0</v>
      </c>
      <c r="F212" s="27"/>
      <c r="G212" s="27">
        <v>3.102001578E9</v>
      </c>
      <c r="H212" s="28">
        <v>6589.0</v>
      </c>
      <c r="I212" s="30" t="str">
        <f t="shared" si="1"/>
        <v>6589-GSB-3102001578</v>
      </c>
      <c r="J212" s="25" t="s">
        <v>551</v>
      </c>
      <c r="K212" s="25" t="s">
        <v>55</v>
      </c>
      <c r="L212" s="64">
        <v>46141.0</v>
      </c>
      <c r="M212" s="35" t="s">
        <v>139</v>
      </c>
      <c r="N212" s="2">
        <v>3482.0</v>
      </c>
      <c r="O212" s="36" t="s">
        <v>337</v>
      </c>
      <c r="P212" s="63">
        <v>46191.0</v>
      </c>
      <c r="Q212" s="38"/>
      <c r="R212" s="38"/>
      <c r="S212" s="38"/>
      <c r="T212" s="38"/>
      <c r="U212" s="38"/>
      <c r="V212" s="38"/>
    </row>
    <row r="213">
      <c r="A213" s="23">
        <v>46078.0</v>
      </c>
      <c r="B213" s="27" t="s">
        <v>375</v>
      </c>
      <c r="C213" s="27">
        <v>6.76544009023E11</v>
      </c>
      <c r="D213" s="28" t="s">
        <v>47</v>
      </c>
      <c r="E213" s="27">
        <v>1.0</v>
      </c>
      <c r="F213" s="27"/>
      <c r="G213" s="27" t="s">
        <v>35</v>
      </c>
      <c r="H213" s="28">
        <v>10041.0</v>
      </c>
      <c r="I213" s="30" t="str">
        <f t="shared" si="1"/>
        <v>10041-GSB-N/A</v>
      </c>
      <c r="J213" s="25" t="s">
        <v>551</v>
      </c>
      <c r="K213" s="25" t="s">
        <v>55</v>
      </c>
      <c r="L213" s="64">
        <v>46141.0</v>
      </c>
      <c r="M213" s="35" t="s">
        <v>139</v>
      </c>
      <c r="N213" s="61">
        <v>3465.0</v>
      </c>
      <c r="O213" s="61" t="s">
        <v>561</v>
      </c>
      <c r="P213" s="91">
        <v>46168.0</v>
      </c>
      <c r="Q213" s="38"/>
      <c r="R213" s="38"/>
      <c r="S213" s="38"/>
      <c r="T213" s="38"/>
      <c r="U213" s="38"/>
      <c r="V213" s="38"/>
    </row>
    <row r="214">
      <c r="A214" s="23">
        <v>46083.0</v>
      </c>
      <c r="B214" s="27" t="s">
        <v>35</v>
      </c>
      <c r="C214" s="27">
        <v>7.703240073126E12</v>
      </c>
      <c r="D214" s="28" t="s">
        <v>333</v>
      </c>
      <c r="E214" s="27">
        <v>1.0</v>
      </c>
      <c r="F214" s="27"/>
      <c r="G214" s="27" t="s">
        <v>35</v>
      </c>
      <c r="H214" s="28">
        <v>10044.0</v>
      </c>
      <c r="I214" s="30" t="str">
        <f t="shared" si="1"/>
        <v>10044-GSB-N/A</v>
      </c>
      <c r="J214" s="25" t="s">
        <v>551</v>
      </c>
      <c r="K214" s="25" t="s">
        <v>55</v>
      </c>
      <c r="L214" s="64">
        <v>46141.0</v>
      </c>
      <c r="M214" s="35" t="s">
        <v>139</v>
      </c>
      <c r="N214" s="2">
        <v>3455.0</v>
      </c>
      <c r="O214" s="36" t="s">
        <v>556</v>
      </c>
      <c r="P214" s="37">
        <v>46144.0</v>
      </c>
      <c r="Q214" s="38"/>
      <c r="R214" s="38"/>
      <c r="S214" s="38"/>
      <c r="T214" s="38"/>
      <c r="U214" s="38"/>
      <c r="V214" s="38"/>
    </row>
    <row r="215">
      <c r="A215" s="23">
        <v>46083.0</v>
      </c>
      <c r="B215" s="27" t="s">
        <v>35</v>
      </c>
      <c r="C215" s="27">
        <v>7.703240073126E12</v>
      </c>
      <c r="D215" s="28" t="s">
        <v>333</v>
      </c>
      <c r="E215" s="27">
        <v>1.0</v>
      </c>
      <c r="F215" s="27"/>
      <c r="G215" s="27" t="s">
        <v>35</v>
      </c>
      <c r="H215" s="28">
        <v>10049.0</v>
      </c>
      <c r="I215" s="30" t="str">
        <f t="shared" si="1"/>
        <v>10049-GSB-N/A</v>
      </c>
      <c r="J215" s="25" t="s">
        <v>551</v>
      </c>
      <c r="K215" s="25" t="s">
        <v>55</v>
      </c>
      <c r="L215" s="64">
        <v>46141.0</v>
      </c>
      <c r="M215" s="35" t="s">
        <v>139</v>
      </c>
      <c r="N215" s="2">
        <v>3454.0</v>
      </c>
      <c r="O215" s="36" t="s">
        <v>552</v>
      </c>
      <c r="P215" s="37">
        <v>46142.0</v>
      </c>
      <c r="Q215" s="38"/>
      <c r="R215" s="38"/>
      <c r="S215" s="38"/>
      <c r="T215" s="38"/>
      <c r="U215" s="38"/>
      <c r="V215" s="38"/>
    </row>
    <row r="216">
      <c r="A216" s="75">
        <v>46153.0</v>
      </c>
      <c r="B216" s="27" t="s">
        <v>35</v>
      </c>
      <c r="C216" s="27" t="s">
        <v>35</v>
      </c>
      <c r="D216" s="28" t="s">
        <v>562</v>
      </c>
      <c r="E216" s="27">
        <v>1.0</v>
      </c>
      <c r="F216" s="27"/>
      <c r="G216" s="27" t="s">
        <v>35</v>
      </c>
      <c r="H216" s="28" t="s">
        <v>35</v>
      </c>
      <c r="I216" s="30" t="str">
        <f t="shared" si="1"/>
        <v>N/A-GSB-N/A</v>
      </c>
      <c r="J216" s="31" t="s">
        <v>563</v>
      </c>
      <c r="K216" s="27" t="s">
        <v>152</v>
      </c>
      <c r="L216" s="92" t="s">
        <v>564</v>
      </c>
      <c r="M216" s="35" t="s">
        <v>139</v>
      </c>
      <c r="N216" s="2">
        <v>2648.0</v>
      </c>
      <c r="O216" s="36" t="s">
        <v>565</v>
      </c>
      <c r="P216" s="37">
        <v>46153.0</v>
      </c>
      <c r="Q216" s="38"/>
      <c r="R216" s="38"/>
      <c r="S216" s="38"/>
      <c r="T216" s="38"/>
      <c r="U216" s="38"/>
      <c r="V216" s="38"/>
    </row>
    <row r="217">
      <c r="A217" s="75">
        <v>46147.0</v>
      </c>
      <c r="B217" s="27" t="s">
        <v>35</v>
      </c>
      <c r="C217" s="27" t="s">
        <v>35</v>
      </c>
      <c r="D217" s="28" t="s">
        <v>566</v>
      </c>
      <c r="E217" s="27">
        <v>1.0</v>
      </c>
      <c r="F217" s="27"/>
      <c r="G217" s="27" t="s">
        <v>35</v>
      </c>
      <c r="H217" s="28" t="s">
        <v>35</v>
      </c>
      <c r="I217" s="30" t="str">
        <f t="shared" si="1"/>
        <v>N/A-GSB-N/A</v>
      </c>
      <c r="J217" s="31" t="s">
        <v>567</v>
      </c>
      <c r="K217" s="27" t="s">
        <v>55</v>
      </c>
      <c r="L217" s="35" t="s">
        <v>564</v>
      </c>
      <c r="M217" s="35" t="s">
        <v>60</v>
      </c>
      <c r="N217" s="2">
        <v>3456.0</v>
      </c>
      <c r="O217" s="36" t="s">
        <v>568</v>
      </c>
      <c r="P217" s="37">
        <v>46147.0</v>
      </c>
      <c r="Q217" s="38"/>
      <c r="R217" s="38"/>
      <c r="S217" s="38"/>
      <c r="T217" s="38"/>
      <c r="U217" s="38"/>
      <c r="V217" s="38"/>
    </row>
    <row r="218">
      <c r="A218" s="23">
        <v>46083.0</v>
      </c>
      <c r="B218" s="27" t="s">
        <v>35</v>
      </c>
      <c r="C218" s="27">
        <v>7.703240073126E12</v>
      </c>
      <c r="D218" s="28" t="s">
        <v>333</v>
      </c>
      <c r="E218" s="27">
        <v>1.0</v>
      </c>
      <c r="F218" s="27"/>
      <c r="G218" s="27" t="s">
        <v>35</v>
      </c>
      <c r="H218" s="28">
        <v>10045.0</v>
      </c>
      <c r="I218" s="30" t="str">
        <f t="shared" si="1"/>
        <v>10045-GSB-N/A</v>
      </c>
      <c r="J218" s="31" t="s">
        <v>569</v>
      </c>
      <c r="K218" s="27" t="s">
        <v>270</v>
      </c>
      <c r="L218" s="34">
        <v>46142.0</v>
      </c>
      <c r="M218" s="35" t="s">
        <v>139</v>
      </c>
      <c r="N218" s="2">
        <v>3251.0</v>
      </c>
      <c r="O218" s="36" t="s">
        <v>570</v>
      </c>
      <c r="P218" s="37">
        <v>46148.0</v>
      </c>
      <c r="Q218" s="38"/>
      <c r="R218" s="38"/>
      <c r="S218" s="38"/>
      <c r="T218" s="38"/>
      <c r="U218" s="38"/>
      <c r="V218" s="38"/>
    </row>
    <row r="219">
      <c r="A219" s="75">
        <v>46141.0</v>
      </c>
      <c r="B219" s="27" t="s">
        <v>35</v>
      </c>
      <c r="C219" s="27" t="s">
        <v>35</v>
      </c>
      <c r="D219" s="28" t="s">
        <v>41</v>
      </c>
      <c r="E219" s="27">
        <v>1.0</v>
      </c>
      <c r="F219" s="27"/>
      <c r="G219" s="27" t="s">
        <v>35</v>
      </c>
      <c r="H219" s="28">
        <v>10450.0</v>
      </c>
      <c r="I219" s="30" t="str">
        <f t="shared" si="1"/>
        <v>10450-GSB-N/A</v>
      </c>
      <c r="J219" s="31" t="s">
        <v>569</v>
      </c>
      <c r="K219" s="27" t="s">
        <v>270</v>
      </c>
      <c r="L219" s="34">
        <v>46142.0</v>
      </c>
      <c r="M219" s="35" t="s">
        <v>139</v>
      </c>
      <c r="N219" s="2">
        <v>3269.0</v>
      </c>
      <c r="O219" s="36" t="s">
        <v>572</v>
      </c>
      <c r="P219" s="37">
        <v>46246.0</v>
      </c>
      <c r="Q219" s="38"/>
      <c r="R219" s="38"/>
      <c r="S219" s="38"/>
      <c r="T219" s="38"/>
      <c r="U219" s="38"/>
      <c r="V219" s="38"/>
    </row>
    <row r="220">
      <c r="A220" s="75">
        <v>46141.0</v>
      </c>
      <c r="B220" s="27" t="s">
        <v>35</v>
      </c>
      <c r="C220" s="27">
        <v>8.86618177071E11</v>
      </c>
      <c r="D220" s="28" t="s">
        <v>67</v>
      </c>
      <c r="E220" s="27">
        <v>1.0</v>
      </c>
      <c r="F220" s="27"/>
      <c r="G220" s="27" t="s">
        <v>35</v>
      </c>
      <c r="H220" s="28">
        <v>9026.0</v>
      </c>
      <c r="I220" s="30" t="str">
        <f t="shared" si="1"/>
        <v>9026-GSB-N/A</v>
      </c>
      <c r="J220" s="31" t="s">
        <v>569</v>
      </c>
      <c r="K220" s="27" t="s">
        <v>270</v>
      </c>
      <c r="L220" s="34">
        <v>46142.0</v>
      </c>
      <c r="M220" s="35" t="s">
        <v>139</v>
      </c>
      <c r="N220" s="2">
        <v>3254.0</v>
      </c>
      <c r="O220" s="36" t="s">
        <v>574</v>
      </c>
      <c r="P220" s="37">
        <v>46162.0</v>
      </c>
      <c r="Q220" s="38"/>
      <c r="R220" s="38"/>
      <c r="S220" s="38"/>
      <c r="T220" s="38"/>
      <c r="U220" s="38"/>
      <c r="V220" s="38"/>
    </row>
    <row r="221">
      <c r="A221" s="75">
        <v>46141.0</v>
      </c>
      <c r="B221" s="27" t="s">
        <v>35</v>
      </c>
      <c r="C221" s="27" t="s">
        <v>340</v>
      </c>
      <c r="D221" s="28" t="s">
        <v>31</v>
      </c>
      <c r="E221" s="27">
        <v>1.0</v>
      </c>
      <c r="F221" s="27"/>
      <c r="G221" s="27" t="s">
        <v>35</v>
      </c>
      <c r="H221" s="28">
        <v>10132.0</v>
      </c>
      <c r="I221" s="30" t="str">
        <f t="shared" si="1"/>
        <v>10132-GSB-N/A</v>
      </c>
      <c r="J221" s="31" t="s">
        <v>569</v>
      </c>
      <c r="K221" s="27" t="s">
        <v>270</v>
      </c>
      <c r="L221" s="34">
        <v>46142.0</v>
      </c>
      <c r="M221" s="35" t="s">
        <v>139</v>
      </c>
      <c r="N221" s="2">
        <v>3253.0</v>
      </c>
      <c r="O221" s="36" t="s">
        <v>620</v>
      </c>
      <c r="P221" s="37">
        <v>46154.0</v>
      </c>
      <c r="Q221" s="38"/>
      <c r="R221" s="38"/>
      <c r="S221" s="38"/>
      <c r="T221" s="38"/>
      <c r="U221" s="38"/>
      <c r="V221" s="38"/>
    </row>
    <row r="222">
      <c r="A222" s="75">
        <v>46141.0</v>
      </c>
      <c r="B222" s="27" t="s">
        <v>35</v>
      </c>
      <c r="C222" s="27" t="s">
        <v>108</v>
      </c>
      <c r="D222" s="28" t="s">
        <v>43</v>
      </c>
      <c r="E222" s="27">
        <v>1.0</v>
      </c>
      <c r="F222" s="27"/>
      <c r="G222" s="27" t="s">
        <v>35</v>
      </c>
      <c r="H222" s="28">
        <v>2340.0</v>
      </c>
      <c r="I222" s="30" t="str">
        <f t="shared" si="1"/>
        <v>2340-GSB-N/A</v>
      </c>
      <c r="J222" s="31" t="s">
        <v>569</v>
      </c>
      <c r="K222" s="27" t="s">
        <v>270</v>
      </c>
      <c r="L222" s="34">
        <v>46142.0</v>
      </c>
      <c r="M222" s="35" t="s">
        <v>139</v>
      </c>
      <c r="N222" s="2"/>
      <c r="O222" s="51"/>
      <c r="P222" s="37"/>
      <c r="Q222" s="38"/>
      <c r="R222" s="38"/>
      <c r="S222" s="38"/>
      <c r="T222" s="38"/>
      <c r="U222" s="38"/>
      <c r="V222" s="38"/>
    </row>
    <row r="223">
      <c r="A223" s="75">
        <v>46141.0</v>
      </c>
      <c r="B223" s="27" t="s">
        <v>35</v>
      </c>
      <c r="C223" s="27">
        <v>4.998117557E9</v>
      </c>
      <c r="D223" s="28" t="s">
        <v>5</v>
      </c>
      <c r="E223" s="27">
        <v>1.0</v>
      </c>
      <c r="F223" s="27"/>
      <c r="G223" s="27" t="s">
        <v>35</v>
      </c>
      <c r="H223" s="28">
        <v>8629.0</v>
      </c>
      <c r="I223" s="30" t="str">
        <f t="shared" si="1"/>
        <v>8629-GSB-N/A</v>
      </c>
      <c r="J223" s="31" t="s">
        <v>569</v>
      </c>
      <c r="K223" s="27" t="s">
        <v>270</v>
      </c>
      <c r="L223" s="34">
        <v>46142.0</v>
      </c>
      <c r="M223" s="35" t="s">
        <v>139</v>
      </c>
      <c r="N223" s="2"/>
      <c r="O223" s="36"/>
      <c r="P223" s="37"/>
      <c r="Q223" s="38"/>
      <c r="R223" s="38"/>
      <c r="S223" s="38"/>
      <c r="T223" s="38"/>
      <c r="U223" s="38"/>
      <c r="V223" s="38"/>
    </row>
    <row r="224">
      <c r="A224" s="75">
        <v>46141.0</v>
      </c>
      <c r="B224" s="27" t="s">
        <v>35</v>
      </c>
      <c r="C224" s="27" t="s">
        <v>40</v>
      </c>
      <c r="D224" s="28" t="s">
        <v>8</v>
      </c>
      <c r="E224" s="27">
        <v>1.0</v>
      </c>
      <c r="F224" s="27"/>
      <c r="G224" s="27" t="s">
        <v>624</v>
      </c>
      <c r="H224" s="28">
        <v>5974.0</v>
      </c>
      <c r="I224" s="30" t="str">
        <f t="shared" si="1"/>
        <v>5974-GSB-0422579480040200036</v>
      </c>
      <c r="J224" s="31" t="s">
        <v>569</v>
      </c>
      <c r="K224" s="27" t="s">
        <v>270</v>
      </c>
      <c r="L224" s="34">
        <v>46142.0</v>
      </c>
      <c r="M224" s="35" t="s">
        <v>139</v>
      </c>
      <c r="N224" s="2">
        <v>3256.0</v>
      </c>
      <c r="O224" s="36" t="s">
        <v>625</v>
      </c>
      <c r="P224" s="37">
        <v>46164.0</v>
      </c>
      <c r="Q224" s="38"/>
      <c r="R224" s="38"/>
      <c r="S224" s="38"/>
      <c r="T224" s="38"/>
      <c r="U224" s="38"/>
      <c r="V224" s="38"/>
    </row>
    <row r="225">
      <c r="A225" s="75">
        <v>46141.0</v>
      </c>
      <c r="B225" s="27" t="s">
        <v>35</v>
      </c>
      <c r="C225" s="27" t="s">
        <v>257</v>
      </c>
      <c r="D225" s="28" t="s">
        <v>57</v>
      </c>
      <c r="E225" s="27">
        <v>1.0</v>
      </c>
      <c r="F225" s="27"/>
      <c r="G225" s="27" t="s">
        <v>35</v>
      </c>
      <c r="H225" s="28">
        <v>5772.0</v>
      </c>
      <c r="I225" s="30" t="str">
        <f t="shared" si="1"/>
        <v>5772-GSB-N/A</v>
      </c>
      <c r="J225" s="31" t="s">
        <v>569</v>
      </c>
      <c r="K225" s="27" t="s">
        <v>270</v>
      </c>
      <c r="L225" s="34">
        <v>46142.0</v>
      </c>
      <c r="M225" s="35" t="s">
        <v>139</v>
      </c>
      <c r="N225" s="2"/>
      <c r="O225" s="51"/>
      <c r="P225" s="37"/>
      <c r="Q225" s="38"/>
      <c r="R225" s="38"/>
      <c r="S225" s="38"/>
      <c r="T225" s="38"/>
      <c r="U225" s="38"/>
      <c r="V225" s="38"/>
    </row>
    <row r="226">
      <c r="A226" s="75">
        <v>46141.0</v>
      </c>
      <c r="B226" s="27" t="s">
        <v>35</v>
      </c>
      <c r="C226" s="27" t="s">
        <v>35</v>
      </c>
      <c r="D226" s="28" t="s">
        <v>193</v>
      </c>
      <c r="E226" s="27">
        <v>1.0</v>
      </c>
      <c r="F226" s="27"/>
      <c r="G226" s="27" t="s">
        <v>627</v>
      </c>
      <c r="H226" s="28">
        <v>2172.0</v>
      </c>
      <c r="I226" s="30" t="str">
        <f t="shared" si="1"/>
        <v>2172-GSB-SDS-1033578</v>
      </c>
      <c r="J226" s="31" t="s">
        <v>569</v>
      </c>
      <c r="K226" s="27" t="s">
        <v>270</v>
      </c>
      <c r="L226" s="34">
        <v>46142.0</v>
      </c>
      <c r="M226" s="35" t="s">
        <v>139</v>
      </c>
      <c r="N226" s="2"/>
      <c r="O226" s="51"/>
      <c r="P226" s="37"/>
      <c r="Q226" s="38"/>
      <c r="R226" s="38"/>
      <c r="S226" s="38"/>
      <c r="T226" s="38"/>
      <c r="U226" s="38"/>
      <c r="V226" s="38"/>
    </row>
    <row r="227">
      <c r="A227" s="75">
        <v>46141.0</v>
      </c>
      <c r="B227" s="27" t="s">
        <v>35</v>
      </c>
      <c r="C227" s="27" t="s">
        <v>35</v>
      </c>
      <c r="D227" s="28" t="s">
        <v>2</v>
      </c>
      <c r="E227" s="27">
        <v>1.0</v>
      </c>
      <c r="F227" s="27"/>
      <c r="G227" s="27" t="s">
        <v>629</v>
      </c>
      <c r="H227" s="28">
        <v>2245.0</v>
      </c>
      <c r="I227" s="30" t="str">
        <f t="shared" si="1"/>
        <v>2245-GSB-SDS-1034729</v>
      </c>
      <c r="J227" s="31" t="s">
        <v>569</v>
      </c>
      <c r="K227" s="27" t="s">
        <v>270</v>
      </c>
      <c r="L227" s="34">
        <v>46142.0</v>
      </c>
      <c r="M227" s="35" t="s">
        <v>139</v>
      </c>
      <c r="N227" s="2"/>
      <c r="O227" s="51"/>
      <c r="P227" s="37"/>
      <c r="Q227" s="38"/>
      <c r="R227" s="38"/>
      <c r="S227" s="38"/>
      <c r="T227" s="38"/>
      <c r="U227" s="38"/>
      <c r="V227" s="38"/>
    </row>
    <row r="228">
      <c r="A228" s="75">
        <v>46141.0</v>
      </c>
      <c r="B228" s="27" t="s">
        <v>35</v>
      </c>
      <c r="C228" s="27" t="s">
        <v>202</v>
      </c>
      <c r="D228" s="28" t="s">
        <v>50</v>
      </c>
      <c r="E228" s="27">
        <v>1.0</v>
      </c>
      <c r="F228" s="27"/>
      <c r="G228" s="27" t="s">
        <v>122</v>
      </c>
      <c r="H228" s="28">
        <v>2430.0</v>
      </c>
      <c r="I228" s="30" t="str">
        <f t="shared" si="1"/>
        <v>2430-GSB-042163653706100268</v>
      </c>
      <c r="J228" s="31" t="s">
        <v>569</v>
      </c>
      <c r="K228" s="27" t="s">
        <v>270</v>
      </c>
      <c r="L228" s="34">
        <v>46142.0</v>
      </c>
      <c r="M228" s="35" t="s">
        <v>139</v>
      </c>
      <c r="N228" s="2"/>
      <c r="O228" s="51"/>
      <c r="P228" s="37"/>
      <c r="Q228" s="38"/>
      <c r="R228" s="38"/>
      <c r="S228" s="38"/>
      <c r="T228" s="38"/>
      <c r="U228" s="38"/>
      <c r="V228" s="38"/>
    </row>
    <row r="229">
      <c r="A229" s="23">
        <v>46078.0</v>
      </c>
      <c r="B229" s="27" t="s">
        <v>375</v>
      </c>
      <c r="C229" s="27">
        <v>6.76544009023E11</v>
      </c>
      <c r="D229" s="28" t="s">
        <v>136</v>
      </c>
      <c r="E229" s="27">
        <v>1.0</v>
      </c>
      <c r="F229" s="27"/>
      <c r="G229" s="27" t="s">
        <v>35</v>
      </c>
      <c r="H229" s="28">
        <v>10042.0</v>
      </c>
      <c r="I229" s="30" t="str">
        <f t="shared" si="1"/>
        <v>10042-GSB-N/A</v>
      </c>
      <c r="J229" s="31" t="s">
        <v>569</v>
      </c>
      <c r="K229" s="27" t="s">
        <v>270</v>
      </c>
      <c r="L229" s="34">
        <v>46142.0</v>
      </c>
      <c r="M229" s="35" t="s">
        <v>139</v>
      </c>
      <c r="N229" s="2"/>
      <c r="O229" s="51"/>
      <c r="P229" s="37"/>
      <c r="Q229" s="38"/>
      <c r="R229" s="38"/>
      <c r="S229" s="38"/>
      <c r="T229" s="38"/>
      <c r="U229" s="38"/>
      <c r="V229" s="38"/>
    </row>
    <row r="230">
      <c r="A230" s="75">
        <v>46142.0</v>
      </c>
      <c r="B230" s="27">
        <v>2664.0</v>
      </c>
      <c r="C230" s="27">
        <v>7.709990800005E12</v>
      </c>
      <c r="D230" s="28" t="s">
        <v>566</v>
      </c>
      <c r="E230" s="27">
        <v>1.0</v>
      </c>
      <c r="F230" s="27"/>
      <c r="G230" s="27" t="s">
        <v>634</v>
      </c>
      <c r="H230" s="28" t="s">
        <v>35</v>
      </c>
      <c r="I230" s="30" t="str">
        <f t="shared" si="1"/>
        <v>N/A-GSB-BLISTEL X 5</v>
      </c>
      <c r="J230" s="31" t="s">
        <v>569</v>
      </c>
      <c r="K230" s="27" t="s">
        <v>270</v>
      </c>
      <c r="L230" s="34">
        <v>46142.0</v>
      </c>
      <c r="M230" s="35" t="s">
        <v>139</v>
      </c>
      <c r="N230" s="2">
        <v>3259.0</v>
      </c>
      <c r="O230" s="36" t="s">
        <v>635</v>
      </c>
      <c r="P230" s="37">
        <v>46182.0</v>
      </c>
      <c r="Q230" s="38"/>
      <c r="R230" s="38"/>
      <c r="S230" s="38"/>
      <c r="T230" s="38"/>
      <c r="U230" s="38"/>
      <c r="V230" s="38"/>
    </row>
    <row r="231">
      <c r="A231" s="23">
        <v>45897.0</v>
      </c>
      <c r="B231" s="25">
        <v>2.093501849E9</v>
      </c>
      <c r="C231" s="27">
        <v>4.998117557E9</v>
      </c>
      <c r="D231" s="28" t="s">
        <v>5</v>
      </c>
      <c r="E231" s="27">
        <v>1.0</v>
      </c>
      <c r="F231" s="27"/>
      <c r="G231" s="27" t="s">
        <v>636</v>
      </c>
      <c r="H231" s="28">
        <v>5904.0</v>
      </c>
      <c r="I231" s="30" t="str">
        <f t="shared" si="1"/>
        <v>5904-GSB-092256847892120457</v>
      </c>
      <c r="J231" s="31" t="s">
        <v>569</v>
      </c>
      <c r="K231" s="27" t="s">
        <v>55</v>
      </c>
      <c r="L231" s="34">
        <v>46142.0</v>
      </c>
      <c r="M231" s="35" t="s">
        <v>139</v>
      </c>
      <c r="N231" s="2">
        <v>3482.0</v>
      </c>
      <c r="O231" s="36" t="s">
        <v>337</v>
      </c>
      <c r="P231" s="63">
        <v>46191.0</v>
      </c>
      <c r="Q231" s="38"/>
      <c r="R231" s="38"/>
      <c r="S231" s="38"/>
      <c r="T231" s="38"/>
      <c r="U231" s="38"/>
      <c r="V231" s="38"/>
    </row>
    <row r="232">
      <c r="A232" s="23">
        <v>46083.0</v>
      </c>
      <c r="B232" s="27" t="s">
        <v>35</v>
      </c>
      <c r="C232" s="27">
        <v>7.703240073126E12</v>
      </c>
      <c r="D232" s="28" t="s">
        <v>333</v>
      </c>
      <c r="E232" s="27">
        <v>1.0</v>
      </c>
      <c r="F232" s="27"/>
      <c r="G232" s="27" t="s">
        <v>35</v>
      </c>
      <c r="H232" s="28">
        <v>10052.0</v>
      </c>
      <c r="I232" s="30" t="str">
        <f t="shared" si="1"/>
        <v>10052-GSB-N/A</v>
      </c>
      <c r="J232" s="31" t="s">
        <v>569</v>
      </c>
      <c r="K232" s="27" t="s">
        <v>55</v>
      </c>
      <c r="L232" s="34">
        <v>46142.0</v>
      </c>
      <c r="M232" s="35" t="s">
        <v>139</v>
      </c>
      <c r="N232" s="61">
        <v>3462.0</v>
      </c>
      <c r="O232" s="61" t="s">
        <v>637</v>
      </c>
      <c r="P232" s="91">
        <v>46162.0</v>
      </c>
      <c r="Q232" s="38"/>
      <c r="R232" s="38"/>
      <c r="S232" s="38"/>
      <c r="T232" s="38"/>
      <c r="U232" s="38"/>
      <c r="V232" s="38"/>
    </row>
    <row r="233">
      <c r="A233" s="75">
        <v>46141.0</v>
      </c>
      <c r="B233" s="27" t="s">
        <v>35</v>
      </c>
      <c r="C233" s="27" t="s">
        <v>202</v>
      </c>
      <c r="D233" s="28" t="s">
        <v>50</v>
      </c>
      <c r="E233" s="27">
        <v>1.0</v>
      </c>
      <c r="F233" s="27"/>
      <c r="G233" s="27" t="s">
        <v>639</v>
      </c>
      <c r="H233" s="28">
        <v>6811.0</v>
      </c>
      <c r="I233" s="30" t="str">
        <f t="shared" si="1"/>
        <v>6811-GSB-042163653706100254</v>
      </c>
      <c r="J233" s="31" t="s">
        <v>569</v>
      </c>
      <c r="K233" s="27" t="s">
        <v>55</v>
      </c>
      <c r="L233" s="34">
        <v>46142.0</v>
      </c>
      <c r="M233" s="35" t="s">
        <v>139</v>
      </c>
      <c r="N233" s="61">
        <v>3465.0</v>
      </c>
      <c r="O233" s="61" t="s">
        <v>561</v>
      </c>
      <c r="P233" s="91">
        <v>46168.0</v>
      </c>
      <c r="Q233" s="38"/>
      <c r="R233" s="38"/>
      <c r="S233" s="38"/>
      <c r="T233" s="38"/>
      <c r="U233" s="38"/>
      <c r="V233" s="38"/>
    </row>
    <row r="234">
      <c r="A234" s="75">
        <v>46141.0</v>
      </c>
      <c r="B234" s="27" t="s">
        <v>35</v>
      </c>
      <c r="C234" s="27" t="s">
        <v>35</v>
      </c>
      <c r="D234" s="28" t="s">
        <v>41</v>
      </c>
      <c r="E234" s="27">
        <v>1.0</v>
      </c>
      <c r="F234" s="27"/>
      <c r="G234" s="27" t="s">
        <v>35</v>
      </c>
      <c r="H234" s="28" t="s">
        <v>35</v>
      </c>
      <c r="I234" s="30" t="str">
        <f t="shared" si="1"/>
        <v>N/A-GSB-N/A</v>
      </c>
      <c r="J234" s="31" t="s">
        <v>569</v>
      </c>
      <c r="K234" s="27" t="s">
        <v>55</v>
      </c>
      <c r="L234" s="34">
        <v>46142.0</v>
      </c>
      <c r="M234" s="35" t="s">
        <v>139</v>
      </c>
      <c r="N234" s="61">
        <v>3469.0</v>
      </c>
      <c r="O234" s="61" t="s">
        <v>644</v>
      </c>
      <c r="P234" s="91">
        <v>46170.0</v>
      </c>
      <c r="Q234" s="38"/>
      <c r="R234" s="38"/>
      <c r="S234" s="38"/>
      <c r="T234" s="38"/>
      <c r="U234" s="38"/>
      <c r="V234" s="38"/>
    </row>
    <row r="235">
      <c r="A235" s="75">
        <v>46141.0</v>
      </c>
      <c r="B235" s="27" t="s">
        <v>35</v>
      </c>
      <c r="C235" s="27" t="s">
        <v>257</v>
      </c>
      <c r="D235" s="28" t="s">
        <v>57</v>
      </c>
      <c r="E235" s="27">
        <v>1.0</v>
      </c>
      <c r="F235" s="27"/>
      <c r="G235" s="27" t="s">
        <v>35</v>
      </c>
      <c r="H235" s="28">
        <v>6708.0</v>
      </c>
      <c r="I235" s="30" t="str">
        <f t="shared" si="1"/>
        <v>6708-GSB-N/A</v>
      </c>
      <c r="J235" s="31" t="s">
        <v>569</v>
      </c>
      <c r="K235" s="27" t="s">
        <v>55</v>
      </c>
      <c r="L235" s="34">
        <v>46142.0</v>
      </c>
      <c r="M235" s="35" t="s">
        <v>139</v>
      </c>
      <c r="N235" s="2">
        <v>3482.0</v>
      </c>
      <c r="O235" s="36" t="s">
        <v>337</v>
      </c>
      <c r="P235" s="63">
        <v>46191.0</v>
      </c>
      <c r="Q235" s="38"/>
      <c r="R235" s="38"/>
      <c r="S235" s="38"/>
      <c r="T235" s="38"/>
      <c r="U235" s="38"/>
      <c r="V235" s="38"/>
    </row>
    <row r="236">
      <c r="A236" s="75">
        <v>46141.0</v>
      </c>
      <c r="B236" s="27" t="s">
        <v>35</v>
      </c>
      <c r="C236" s="27" t="s">
        <v>340</v>
      </c>
      <c r="D236" s="28" t="s">
        <v>31</v>
      </c>
      <c r="E236" s="27">
        <v>1.0</v>
      </c>
      <c r="F236" s="27"/>
      <c r="G236" s="27" t="s">
        <v>35</v>
      </c>
      <c r="H236" s="28">
        <v>10134.0</v>
      </c>
      <c r="I236" s="30" t="str">
        <f t="shared" si="1"/>
        <v>10134-GSB-N/A</v>
      </c>
      <c r="J236" s="31" t="s">
        <v>569</v>
      </c>
      <c r="K236" s="27" t="s">
        <v>55</v>
      </c>
      <c r="L236" s="34">
        <v>46142.0</v>
      </c>
      <c r="M236" s="35" t="s">
        <v>139</v>
      </c>
      <c r="N236" s="61">
        <v>3461.0</v>
      </c>
      <c r="O236" s="61" t="s">
        <v>645</v>
      </c>
      <c r="P236" s="91">
        <v>46161.0</v>
      </c>
      <c r="Q236" s="38"/>
      <c r="R236" s="38"/>
      <c r="S236" s="38"/>
      <c r="T236" s="38"/>
      <c r="U236" s="38"/>
      <c r="V236" s="38"/>
    </row>
    <row r="237">
      <c r="A237" s="75">
        <v>46141.0</v>
      </c>
      <c r="B237" s="27" t="s">
        <v>35</v>
      </c>
      <c r="C237" s="27" t="s">
        <v>35</v>
      </c>
      <c r="D237" s="28" t="s">
        <v>646</v>
      </c>
      <c r="E237" s="27">
        <v>1.0</v>
      </c>
      <c r="F237" s="27"/>
      <c r="G237" s="27" t="s">
        <v>35</v>
      </c>
      <c r="H237" s="28">
        <v>10136.0</v>
      </c>
      <c r="I237" s="30" t="str">
        <f t="shared" si="1"/>
        <v>10136-GSB-N/A</v>
      </c>
      <c r="J237" s="31" t="s">
        <v>569</v>
      </c>
      <c r="K237" s="27" t="s">
        <v>55</v>
      </c>
      <c r="L237" s="34">
        <v>46142.0</v>
      </c>
      <c r="M237" s="35" t="s">
        <v>139</v>
      </c>
      <c r="N237" s="61">
        <v>3465.0</v>
      </c>
      <c r="O237" s="61" t="s">
        <v>561</v>
      </c>
      <c r="P237" s="91">
        <v>46168.0</v>
      </c>
      <c r="Q237" s="38"/>
      <c r="R237" s="38"/>
      <c r="S237" s="38"/>
      <c r="T237" s="38"/>
      <c r="U237" s="38"/>
      <c r="V237" s="38"/>
    </row>
    <row r="238">
      <c r="A238" s="75">
        <v>46141.0</v>
      </c>
      <c r="B238" s="27" t="s">
        <v>35</v>
      </c>
      <c r="C238" s="27" t="s">
        <v>108</v>
      </c>
      <c r="D238" s="28" t="s">
        <v>43</v>
      </c>
      <c r="E238" s="27">
        <v>1.0</v>
      </c>
      <c r="F238" s="27"/>
      <c r="G238" s="27" t="s">
        <v>35</v>
      </c>
      <c r="H238" s="28">
        <v>6610.0</v>
      </c>
      <c r="I238" s="30" t="str">
        <f t="shared" si="1"/>
        <v>6610-GSB-N/A</v>
      </c>
      <c r="J238" s="31" t="s">
        <v>569</v>
      </c>
      <c r="K238" s="27" t="s">
        <v>55</v>
      </c>
      <c r="L238" s="34">
        <v>46142.0</v>
      </c>
      <c r="M238" s="35" t="s">
        <v>139</v>
      </c>
      <c r="N238" s="2">
        <v>3482.0</v>
      </c>
      <c r="O238" s="36" t="s">
        <v>337</v>
      </c>
      <c r="P238" s="63">
        <v>46191.0</v>
      </c>
      <c r="Q238" s="38"/>
      <c r="R238" s="38"/>
      <c r="S238" s="38"/>
      <c r="T238" s="38"/>
      <c r="U238" s="38"/>
      <c r="V238" s="38"/>
    </row>
    <row r="239">
      <c r="A239" s="75">
        <v>46142.0</v>
      </c>
      <c r="B239" s="27">
        <v>2664.0</v>
      </c>
      <c r="C239" s="27">
        <v>7.709990800005E12</v>
      </c>
      <c r="D239" s="28" t="s">
        <v>566</v>
      </c>
      <c r="E239" s="27">
        <v>1.0</v>
      </c>
      <c r="F239" s="27"/>
      <c r="G239" s="27" t="s">
        <v>634</v>
      </c>
      <c r="H239" s="28" t="s">
        <v>35</v>
      </c>
      <c r="I239" s="30" t="str">
        <f t="shared" si="1"/>
        <v>N/A-GSB-BLISTEL X 5</v>
      </c>
      <c r="J239" s="31" t="s">
        <v>569</v>
      </c>
      <c r="K239" s="27" t="s">
        <v>55</v>
      </c>
      <c r="L239" s="34">
        <v>46142.0</v>
      </c>
      <c r="M239" s="35" t="s">
        <v>139</v>
      </c>
      <c r="N239" s="61">
        <v>3468.0</v>
      </c>
      <c r="O239" s="61" t="s">
        <v>650</v>
      </c>
      <c r="P239" s="91">
        <v>46169.0</v>
      </c>
      <c r="Q239" s="38"/>
      <c r="R239" s="38"/>
      <c r="S239" s="38"/>
      <c r="T239" s="38"/>
      <c r="U239" s="38"/>
      <c r="V239" s="38"/>
    </row>
    <row r="240">
      <c r="A240" s="23">
        <v>45897.0</v>
      </c>
      <c r="B240" s="25">
        <v>2.093501849E9</v>
      </c>
      <c r="C240" s="27">
        <v>4.998117557E9</v>
      </c>
      <c r="D240" s="92" t="s">
        <v>5</v>
      </c>
      <c r="E240" s="35">
        <v>1.0</v>
      </c>
      <c r="F240" s="35"/>
      <c r="G240" s="35" t="s">
        <v>652</v>
      </c>
      <c r="H240" s="92">
        <v>5713.0</v>
      </c>
      <c r="I240" s="30" t="str">
        <f t="shared" si="1"/>
        <v>5713-GSB-092256847706150184</v>
      </c>
      <c r="J240" s="31" t="s">
        <v>569</v>
      </c>
      <c r="K240" s="27" t="s">
        <v>85</v>
      </c>
      <c r="L240" s="34">
        <v>46142.0</v>
      </c>
      <c r="M240" s="35" t="s">
        <v>139</v>
      </c>
      <c r="N240" s="2">
        <v>3306.0</v>
      </c>
      <c r="O240" s="36" t="s">
        <v>653</v>
      </c>
      <c r="P240" s="37">
        <v>46239.0</v>
      </c>
      <c r="Q240" s="38"/>
      <c r="R240" s="38"/>
      <c r="S240" s="38"/>
      <c r="T240" s="38"/>
      <c r="U240" s="38"/>
      <c r="V240" s="38"/>
    </row>
    <row r="241">
      <c r="A241" s="23">
        <v>45897.0</v>
      </c>
      <c r="B241" s="25">
        <v>2.093501849E9</v>
      </c>
      <c r="C241" s="27" t="s">
        <v>40</v>
      </c>
      <c r="D241" s="28" t="s">
        <v>8</v>
      </c>
      <c r="E241" s="27">
        <v>1.0</v>
      </c>
      <c r="F241" s="27"/>
      <c r="G241" s="27" t="s">
        <v>656</v>
      </c>
      <c r="H241" s="28">
        <v>6775.0</v>
      </c>
      <c r="I241" s="30" t="str">
        <f t="shared" si="1"/>
        <v>6775-GSB-042257953720020166</v>
      </c>
      <c r="J241" s="31" t="s">
        <v>569</v>
      </c>
      <c r="K241" s="27" t="s">
        <v>85</v>
      </c>
      <c r="L241" s="34">
        <v>46142.0</v>
      </c>
      <c r="M241" s="35" t="s">
        <v>139</v>
      </c>
      <c r="N241" s="2">
        <v>3133.0</v>
      </c>
      <c r="O241" s="36" t="s">
        <v>658</v>
      </c>
      <c r="P241" s="37">
        <v>46168.0</v>
      </c>
      <c r="Q241" s="38"/>
      <c r="R241" s="38"/>
      <c r="S241" s="38"/>
      <c r="T241" s="38"/>
      <c r="U241" s="38"/>
      <c r="V241" s="38"/>
    </row>
    <row r="242">
      <c r="A242" s="23">
        <v>46057.0</v>
      </c>
      <c r="B242" s="25">
        <v>167388.0</v>
      </c>
      <c r="C242" s="25">
        <v>4.998114565E9</v>
      </c>
      <c r="D242" s="70" t="s">
        <v>2</v>
      </c>
      <c r="E242" s="25">
        <v>1.0</v>
      </c>
      <c r="F242" s="25"/>
      <c r="G242" s="25" t="s">
        <v>35</v>
      </c>
      <c r="H242" s="28">
        <v>9086.0</v>
      </c>
      <c r="I242" s="70" t="str">
        <f t="shared" si="1"/>
        <v>9086-GSB-N/A</v>
      </c>
      <c r="J242" s="31" t="s">
        <v>569</v>
      </c>
      <c r="K242" s="27" t="s">
        <v>85</v>
      </c>
      <c r="L242" s="34">
        <v>46142.0</v>
      </c>
      <c r="M242" s="35" t="s">
        <v>139</v>
      </c>
      <c r="N242" s="2">
        <v>3124.0</v>
      </c>
      <c r="O242" s="36" t="s">
        <v>660</v>
      </c>
      <c r="P242" s="37">
        <v>46147.0</v>
      </c>
      <c r="Q242" s="38"/>
      <c r="R242" s="38"/>
      <c r="S242" s="38"/>
      <c r="T242" s="38"/>
      <c r="U242" s="38"/>
      <c r="V242" s="38"/>
    </row>
    <row r="243">
      <c r="A243" s="23">
        <v>46083.0</v>
      </c>
      <c r="B243" s="27" t="s">
        <v>35</v>
      </c>
      <c r="C243" s="27">
        <v>7.703240073126E12</v>
      </c>
      <c r="D243" s="28" t="s">
        <v>333</v>
      </c>
      <c r="E243" s="27">
        <v>1.0</v>
      </c>
      <c r="F243" s="27"/>
      <c r="G243" s="27" t="s">
        <v>35</v>
      </c>
      <c r="H243" s="28">
        <v>10050.0</v>
      </c>
      <c r="I243" s="30" t="str">
        <f t="shared" si="1"/>
        <v>10050-GSB-N/A</v>
      </c>
      <c r="J243" s="31" t="s">
        <v>569</v>
      </c>
      <c r="K243" s="27" t="s">
        <v>85</v>
      </c>
      <c r="L243" s="34">
        <v>46142.0</v>
      </c>
      <c r="M243" s="35" t="s">
        <v>139</v>
      </c>
      <c r="N243" s="2">
        <v>3129.0</v>
      </c>
      <c r="O243" s="36" t="s">
        <v>662</v>
      </c>
      <c r="P243" s="37">
        <v>46155.0</v>
      </c>
      <c r="Q243" s="38"/>
      <c r="R243" s="38"/>
      <c r="S243" s="38"/>
      <c r="T243" s="38"/>
      <c r="U243" s="38"/>
      <c r="V243" s="38"/>
    </row>
    <row r="244">
      <c r="A244" s="23">
        <v>46057.0</v>
      </c>
      <c r="B244" s="25">
        <v>167388.0</v>
      </c>
      <c r="C244" s="25" t="s">
        <v>129</v>
      </c>
      <c r="D244" s="70" t="s">
        <v>61</v>
      </c>
      <c r="E244" s="25">
        <v>1.0</v>
      </c>
      <c r="F244" s="25"/>
      <c r="G244" s="25" t="s">
        <v>664</v>
      </c>
      <c r="H244" s="70">
        <v>9094.0</v>
      </c>
      <c r="I244" s="70" t="str">
        <f t="shared" si="1"/>
        <v>9094-GSB-093140347878970019</v>
      </c>
      <c r="J244" s="31" t="s">
        <v>569</v>
      </c>
      <c r="K244" s="27" t="s">
        <v>85</v>
      </c>
      <c r="L244" s="34">
        <v>46142.0</v>
      </c>
      <c r="M244" s="35" t="s">
        <v>139</v>
      </c>
      <c r="N244" s="2">
        <v>3124.0</v>
      </c>
      <c r="O244" s="36" t="s">
        <v>660</v>
      </c>
      <c r="P244" s="37">
        <v>46147.0</v>
      </c>
      <c r="Q244" s="38"/>
      <c r="R244" s="38"/>
      <c r="S244" s="38"/>
      <c r="T244" s="38"/>
      <c r="U244" s="38"/>
      <c r="V244" s="38"/>
    </row>
    <row r="245">
      <c r="A245" s="75">
        <v>46141.0</v>
      </c>
      <c r="B245" s="27" t="s">
        <v>35</v>
      </c>
      <c r="C245" s="27" t="s">
        <v>35</v>
      </c>
      <c r="D245" s="92" t="s">
        <v>47</v>
      </c>
      <c r="E245" s="35">
        <v>1.0</v>
      </c>
      <c r="F245" s="35"/>
      <c r="G245" s="35" t="s">
        <v>35</v>
      </c>
      <c r="H245" s="92">
        <v>7035.0</v>
      </c>
      <c r="I245" s="30" t="str">
        <f t="shared" si="1"/>
        <v>7035-GSB-N/A</v>
      </c>
      <c r="J245" s="31" t="s">
        <v>569</v>
      </c>
      <c r="K245" s="27" t="s">
        <v>85</v>
      </c>
      <c r="L245" s="34">
        <v>46142.0</v>
      </c>
      <c r="M245" s="35" t="s">
        <v>139</v>
      </c>
      <c r="N245" s="2"/>
      <c r="O245" s="51"/>
      <c r="P245" s="37"/>
      <c r="Q245" s="38"/>
      <c r="R245" s="38"/>
      <c r="S245" s="38"/>
      <c r="T245" s="38"/>
      <c r="U245" s="38"/>
      <c r="V245" s="38"/>
    </row>
    <row r="246">
      <c r="A246" s="75">
        <v>46141.0</v>
      </c>
      <c r="B246" s="27" t="s">
        <v>35</v>
      </c>
      <c r="C246" s="27" t="s">
        <v>35</v>
      </c>
      <c r="D246" s="92" t="s">
        <v>41</v>
      </c>
      <c r="E246" s="35">
        <v>1.0</v>
      </c>
      <c r="F246" s="35"/>
      <c r="G246" s="35" t="s">
        <v>35</v>
      </c>
      <c r="H246" s="92" t="s">
        <v>35</v>
      </c>
      <c r="I246" s="30" t="str">
        <f t="shared" si="1"/>
        <v>N/A-GSB-N/A</v>
      </c>
      <c r="J246" s="31" t="s">
        <v>569</v>
      </c>
      <c r="K246" s="27" t="s">
        <v>85</v>
      </c>
      <c r="L246" s="34">
        <v>46142.0</v>
      </c>
      <c r="M246" s="35" t="s">
        <v>139</v>
      </c>
      <c r="N246" s="2"/>
      <c r="O246" s="51"/>
      <c r="P246" s="37"/>
      <c r="Q246" s="38"/>
      <c r="R246" s="38"/>
      <c r="S246" s="38"/>
      <c r="T246" s="38"/>
      <c r="U246" s="38"/>
      <c r="V246" s="38"/>
    </row>
    <row r="247">
      <c r="A247" s="75">
        <v>46141.0</v>
      </c>
      <c r="B247" s="27" t="s">
        <v>35</v>
      </c>
      <c r="C247" s="27" t="s">
        <v>340</v>
      </c>
      <c r="D247" s="28" t="s">
        <v>31</v>
      </c>
      <c r="E247" s="27">
        <v>1.0</v>
      </c>
      <c r="F247" s="27"/>
      <c r="G247" s="27" t="s">
        <v>35</v>
      </c>
      <c r="H247" s="28">
        <v>6104.0</v>
      </c>
      <c r="I247" s="30" t="str">
        <f t="shared" si="1"/>
        <v>6104-GSB-N/A</v>
      </c>
      <c r="J247" s="31" t="s">
        <v>569</v>
      </c>
      <c r="K247" s="27" t="s">
        <v>85</v>
      </c>
      <c r="L247" s="34">
        <v>46142.0</v>
      </c>
      <c r="M247" s="35" t="s">
        <v>139</v>
      </c>
      <c r="N247" s="2">
        <v>3125.0</v>
      </c>
      <c r="O247" s="36" t="s">
        <v>668</v>
      </c>
      <c r="P247" s="37">
        <v>46149.0</v>
      </c>
      <c r="Q247" s="38"/>
      <c r="R247" s="38"/>
      <c r="S247" s="38"/>
      <c r="T247" s="38"/>
      <c r="U247" s="38"/>
      <c r="V247" s="38"/>
    </row>
    <row r="248">
      <c r="A248" s="75">
        <v>46141.0</v>
      </c>
      <c r="B248" s="27" t="s">
        <v>35</v>
      </c>
      <c r="C248" s="27" t="s">
        <v>108</v>
      </c>
      <c r="D248" s="92" t="s">
        <v>43</v>
      </c>
      <c r="E248" s="35">
        <v>1.0</v>
      </c>
      <c r="F248" s="35"/>
      <c r="G248" s="35" t="s">
        <v>35</v>
      </c>
      <c r="H248" s="92">
        <v>7529.0</v>
      </c>
      <c r="I248" s="30" t="str">
        <f t="shared" si="1"/>
        <v>7529-GSB-N/A</v>
      </c>
      <c r="J248" s="31" t="s">
        <v>569</v>
      </c>
      <c r="K248" s="27" t="s">
        <v>85</v>
      </c>
      <c r="L248" s="34">
        <v>46142.0</v>
      </c>
      <c r="M248" s="35" t="s">
        <v>139</v>
      </c>
      <c r="N248" s="2"/>
      <c r="O248" s="51"/>
      <c r="P248" s="37"/>
      <c r="Q248" s="38"/>
      <c r="R248" s="38"/>
      <c r="S248" s="38"/>
      <c r="T248" s="38"/>
      <c r="U248" s="38"/>
      <c r="V248" s="38"/>
    </row>
    <row r="249">
      <c r="A249" s="75">
        <v>46141.0</v>
      </c>
      <c r="B249" s="27" t="s">
        <v>35</v>
      </c>
      <c r="C249" s="27" t="s">
        <v>257</v>
      </c>
      <c r="D249" s="28" t="s">
        <v>57</v>
      </c>
      <c r="E249" s="27">
        <v>1.0</v>
      </c>
      <c r="F249" s="27"/>
      <c r="G249" s="27" t="s">
        <v>35</v>
      </c>
      <c r="H249" s="28">
        <v>6709.0</v>
      </c>
      <c r="I249" s="30" t="str">
        <f t="shared" si="1"/>
        <v>6709-GSB-N/A</v>
      </c>
      <c r="J249" s="31" t="s">
        <v>569</v>
      </c>
      <c r="K249" s="27" t="s">
        <v>85</v>
      </c>
      <c r="L249" s="34">
        <v>46142.0</v>
      </c>
      <c r="M249" s="35" t="s">
        <v>139</v>
      </c>
      <c r="N249" s="2"/>
      <c r="O249" s="51"/>
      <c r="P249" s="37"/>
      <c r="Q249" s="38"/>
      <c r="R249" s="38"/>
      <c r="S249" s="38"/>
      <c r="T249" s="38"/>
      <c r="U249" s="38"/>
      <c r="V249" s="38"/>
    </row>
    <row r="250">
      <c r="A250" s="75">
        <v>46141.0</v>
      </c>
      <c r="B250" s="27" t="s">
        <v>35</v>
      </c>
      <c r="C250" s="27" t="s">
        <v>35</v>
      </c>
      <c r="D250" s="28" t="s">
        <v>646</v>
      </c>
      <c r="E250" s="27">
        <v>1.0</v>
      </c>
      <c r="F250" s="27"/>
      <c r="G250" s="27" t="s">
        <v>35</v>
      </c>
      <c r="H250" s="28">
        <v>10135.0</v>
      </c>
      <c r="I250" s="30" t="str">
        <f t="shared" si="1"/>
        <v>10135-GSB-N/A</v>
      </c>
      <c r="J250" s="31" t="s">
        <v>569</v>
      </c>
      <c r="K250" s="27" t="s">
        <v>85</v>
      </c>
      <c r="L250" s="34">
        <v>46142.0</v>
      </c>
      <c r="M250" s="35" t="s">
        <v>139</v>
      </c>
      <c r="N250" s="2">
        <v>3130.0</v>
      </c>
      <c r="O250" s="36" t="s">
        <v>672</v>
      </c>
      <c r="P250" s="37">
        <v>46157.0</v>
      </c>
      <c r="Q250" s="38"/>
      <c r="R250" s="38"/>
      <c r="S250" s="38"/>
      <c r="T250" s="38"/>
      <c r="U250" s="38"/>
      <c r="V250" s="38"/>
    </row>
    <row r="251">
      <c r="A251" s="75">
        <v>46141.0</v>
      </c>
      <c r="B251" s="27" t="s">
        <v>35</v>
      </c>
      <c r="C251" s="27" t="s">
        <v>202</v>
      </c>
      <c r="D251" s="28" t="s">
        <v>50</v>
      </c>
      <c r="E251" s="27">
        <v>1.0</v>
      </c>
      <c r="F251" s="27"/>
      <c r="G251" s="27" t="s">
        <v>123</v>
      </c>
      <c r="H251" s="28">
        <v>2465.0</v>
      </c>
      <c r="I251" s="30" t="str">
        <f t="shared" si="1"/>
        <v>2465-GSB-042163653706100215</v>
      </c>
      <c r="J251" s="31" t="s">
        <v>569</v>
      </c>
      <c r="K251" s="27" t="s">
        <v>85</v>
      </c>
      <c r="L251" s="34">
        <v>46142.0</v>
      </c>
      <c r="M251" s="35" t="s">
        <v>139</v>
      </c>
      <c r="N251" s="2">
        <v>3128.0</v>
      </c>
      <c r="O251" s="36" t="s">
        <v>674</v>
      </c>
      <c r="P251" s="37">
        <v>46154.0</v>
      </c>
      <c r="Q251" s="38"/>
      <c r="R251" s="38"/>
      <c r="S251" s="38"/>
      <c r="T251" s="38"/>
      <c r="U251" s="38"/>
      <c r="V251" s="38"/>
    </row>
    <row r="252">
      <c r="A252" s="75">
        <v>46142.0</v>
      </c>
      <c r="B252" s="27">
        <v>2664.0</v>
      </c>
      <c r="C252" s="27">
        <v>7.709990800005E12</v>
      </c>
      <c r="D252" s="28" t="s">
        <v>566</v>
      </c>
      <c r="E252" s="27">
        <v>1.0</v>
      </c>
      <c r="F252" s="27"/>
      <c r="G252" s="27" t="s">
        <v>634</v>
      </c>
      <c r="H252" s="28" t="s">
        <v>35</v>
      </c>
      <c r="I252" s="30" t="str">
        <f t="shared" si="1"/>
        <v>N/A-GSB-BLISTEL X 5</v>
      </c>
      <c r="J252" s="31" t="s">
        <v>569</v>
      </c>
      <c r="K252" s="27" t="s">
        <v>85</v>
      </c>
      <c r="L252" s="34">
        <v>46142.0</v>
      </c>
      <c r="M252" s="35" t="s">
        <v>139</v>
      </c>
      <c r="N252" s="2" t="s">
        <v>676</v>
      </c>
      <c r="O252" s="36" t="s">
        <v>677</v>
      </c>
      <c r="P252" s="2" t="s">
        <v>678</v>
      </c>
      <c r="Q252" s="38"/>
      <c r="R252" s="38"/>
      <c r="S252" s="38"/>
      <c r="T252" s="38"/>
      <c r="U252" s="38"/>
      <c r="V252" s="38"/>
    </row>
    <row r="253">
      <c r="A253" s="23">
        <v>45897.0</v>
      </c>
      <c r="B253" s="25">
        <v>2.093501849E9</v>
      </c>
      <c r="C253" s="27" t="s">
        <v>40</v>
      </c>
      <c r="D253" s="28" t="s">
        <v>8</v>
      </c>
      <c r="E253" s="27">
        <v>1.0</v>
      </c>
      <c r="F253" s="27"/>
      <c r="G253" s="27" t="s">
        <v>679</v>
      </c>
      <c r="H253" s="28">
        <v>5961.0</v>
      </c>
      <c r="I253" s="30" t="str">
        <f t="shared" si="1"/>
        <v>5961-GSB-042257948005020064</v>
      </c>
      <c r="J253" s="31" t="s">
        <v>569</v>
      </c>
      <c r="K253" s="25" t="s">
        <v>453</v>
      </c>
      <c r="L253" s="34">
        <v>46142.0</v>
      </c>
      <c r="M253" s="35" t="s">
        <v>139</v>
      </c>
      <c r="N253" s="2">
        <v>3177.0</v>
      </c>
      <c r="O253" s="36" t="s">
        <v>680</v>
      </c>
      <c r="P253" s="37">
        <v>46183.0</v>
      </c>
      <c r="Q253" s="38"/>
      <c r="R253" s="38"/>
      <c r="S253" s="38"/>
      <c r="T253" s="38"/>
      <c r="U253" s="38"/>
      <c r="V253" s="38"/>
    </row>
    <row r="254">
      <c r="A254" s="23">
        <v>46078.0</v>
      </c>
      <c r="B254" s="27" t="s">
        <v>375</v>
      </c>
      <c r="C254" s="27">
        <v>6.76544009023E11</v>
      </c>
      <c r="D254" s="28" t="s">
        <v>136</v>
      </c>
      <c r="E254" s="27">
        <v>1.0</v>
      </c>
      <c r="F254" s="27"/>
      <c r="G254" s="27" t="s">
        <v>35</v>
      </c>
      <c r="H254" s="28">
        <v>10040.0</v>
      </c>
      <c r="I254" s="30" t="str">
        <f t="shared" si="1"/>
        <v>10040-GSB-N/A</v>
      </c>
      <c r="J254" s="31" t="s">
        <v>569</v>
      </c>
      <c r="K254" s="25" t="s">
        <v>453</v>
      </c>
      <c r="L254" s="34">
        <v>46142.0</v>
      </c>
      <c r="M254" s="35" t="s">
        <v>139</v>
      </c>
      <c r="N254" s="2"/>
      <c r="O254" s="51"/>
      <c r="P254" s="37"/>
      <c r="Q254" s="38"/>
      <c r="R254" s="38"/>
      <c r="S254" s="38"/>
      <c r="T254" s="38"/>
      <c r="U254" s="38"/>
      <c r="V254" s="38"/>
    </row>
    <row r="255">
      <c r="A255" s="23">
        <v>46083.0</v>
      </c>
      <c r="B255" s="27" t="s">
        <v>35</v>
      </c>
      <c r="C255" s="27">
        <v>7.703240073126E12</v>
      </c>
      <c r="D255" s="28" t="s">
        <v>333</v>
      </c>
      <c r="E255" s="27">
        <v>1.0</v>
      </c>
      <c r="F255" s="27"/>
      <c r="G255" s="27" t="s">
        <v>35</v>
      </c>
      <c r="H255" s="28">
        <v>10047.0</v>
      </c>
      <c r="I255" s="30" t="str">
        <f t="shared" si="1"/>
        <v>10047-GSB-N/A</v>
      </c>
      <c r="J255" s="31" t="s">
        <v>569</v>
      </c>
      <c r="K255" s="25" t="s">
        <v>453</v>
      </c>
      <c r="L255" s="34">
        <v>46142.0</v>
      </c>
      <c r="M255" s="35" t="s">
        <v>139</v>
      </c>
      <c r="N255" s="2">
        <v>3170.0</v>
      </c>
      <c r="O255" s="36" t="s">
        <v>684</v>
      </c>
      <c r="P255" s="37">
        <v>46180.0</v>
      </c>
      <c r="Q255" s="38"/>
      <c r="R255" s="38"/>
      <c r="S255" s="38"/>
      <c r="T255" s="38"/>
      <c r="U255" s="38"/>
      <c r="V255" s="38"/>
    </row>
    <row r="256">
      <c r="A256" s="75">
        <v>46141.0</v>
      </c>
      <c r="B256" s="27" t="s">
        <v>35</v>
      </c>
      <c r="C256" s="27" t="s">
        <v>202</v>
      </c>
      <c r="D256" s="28" t="s">
        <v>50</v>
      </c>
      <c r="E256" s="27">
        <v>1.0</v>
      </c>
      <c r="F256" s="27"/>
      <c r="G256" s="27" t="s">
        <v>686</v>
      </c>
      <c r="H256" s="28">
        <v>2464.0</v>
      </c>
      <c r="I256" s="30" t="str">
        <f t="shared" si="1"/>
        <v>2464-GSB-042163643922100342</v>
      </c>
      <c r="J256" s="31" t="s">
        <v>569</v>
      </c>
      <c r="K256" s="25" t="s">
        <v>453</v>
      </c>
      <c r="L256" s="34">
        <v>46142.0</v>
      </c>
      <c r="M256" s="35" t="s">
        <v>139</v>
      </c>
      <c r="N256" s="2">
        <v>3184.0</v>
      </c>
      <c r="O256" s="36" t="s">
        <v>687</v>
      </c>
      <c r="P256" s="37">
        <v>46247.0</v>
      </c>
      <c r="Q256" s="38"/>
      <c r="R256" s="38"/>
      <c r="S256" s="38"/>
      <c r="T256" s="38"/>
      <c r="U256" s="38"/>
      <c r="V256" s="38"/>
    </row>
    <row r="257">
      <c r="A257" s="75">
        <v>46141.0</v>
      </c>
      <c r="B257" s="27" t="s">
        <v>35</v>
      </c>
      <c r="C257" s="27"/>
      <c r="D257" s="28" t="s">
        <v>41</v>
      </c>
      <c r="E257" s="27">
        <v>1.0</v>
      </c>
      <c r="F257" s="27"/>
      <c r="G257" s="27" t="s">
        <v>35</v>
      </c>
      <c r="H257" s="28" t="s">
        <v>35</v>
      </c>
      <c r="I257" s="30" t="str">
        <f t="shared" si="1"/>
        <v>N/A-GSB-N/A</v>
      </c>
      <c r="J257" s="31" t="s">
        <v>569</v>
      </c>
      <c r="K257" s="25" t="s">
        <v>453</v>
      </c>
      <c r="L257" s="34">
        <v>46142.0</v>
      </c>
      <c r="M257" s="35" t="s">
        <v>139</v>
      </c>
      <c r="N257" s="2"/>
      <c r="O257" s="51"/>
      <c r="P257" s="37"/>
      <c r="Q257" s="38"/>
      <c r="R257" s="38"/>
      <c r="S257" s="38"/>
      <c r="T257" s="38"/>
      <c r="U257" s="38"/>
      <c r="V257" s="38"/>
    </row>
    <row r="258">
      <c r="A258" s="75">
        <v>46141.0</v>
      </c>
      <c r="B258" s="27" t="s">
        <v>35</v>
      </c>
      <c r="C258" s="27" t="s">
        <v>340</v>
      </c>
      <c r="D258" s="28" t="s">
        <v>31</v>
      </c>
      <c r="E258" s="27">
        <v>1.0</v>
      </c>
      <c r="F258" s="27"/>
      <c r="G258" s="27" t="s">
        <v>35</v>
      </c>
      <c r="H258" s="28">
        <v>1048.0</v>
      </c>
      <c r="I258" s="30" t="str">
        <f t="shared" si="1"/>
        <v>1048-GSB-N/A</v>
      </c>
      <c r="J258" s="31" t="s">
        <v>569</v>
      </c>
      <c r="K258" s="25" t="s">
        <v>453</v>
      </c>
      <c r="L258" s="34">
        <v>46142.0</v>
      </c>
      <c r="M258" s="35" t="s">
        <v>139</v>
      </c>
      <c r="N258" s="2">
        <v>3189.0</v>
      </c>
      <c r="O258" s="36" t="s">
        <v>692</v>
      </c>
      <c r="P258" s="37">
        <v>46255.0</v>
      </c>
      <c r="Q258" s="38"/>
      <c r="R258" s="38"/>
      <c r="S258" s="38"/>
      <c r="T258" s="38"/>
      <c r="U258" s="38"/>
      <c r="V258" s="38"/>
    </row>
    <row r="259">
      <c r="A259" s="75">
        <v>46141.0</v>
      </c>
      <c r="B259" s="27" t="s">
        <v>35</v>
      </c>
      <c r="C259" s="27">
        <v>4.998117557E9</v>
      </c>
      <c r="D259" s="28" t="s">
        <v>5</v>
      </c>
      <c r="E259" s="27">
        <v>1.0</v>
      </c>
      <c r="F259" s="27"/>
      <c r="G259" s="27" t="s">
        <v>693</v>
      </c>
      <c r="H259" s="28">
        <v>5747.0</v>
      </c>
      <c r="I259" s="30" t="str">
        <f t="shared" si="1"/>
        <v>5747-GSB-092256847766640867</v>
      </c>
      <c r="J259" s="31" t="s">
        <v>569</v>
      </c>
      <c r="K259" s="25" t="s">
        <v>453</v>
      </c>
      <c r="L259" s="34">
        <v>46142.0</v>
      </c>
      <c r="M259" s="35" t="s">
        <v>139</v>
      </c>
      <c r="N259" s="2">
        <v>3169.0</v>
      </c>
      <c r="O259" s="36" t="s">
        <v>694</v>
      </c>
      <c r="P259" s="37">
        <v>46148.0</v>
      </c>
      <c r="Q259" s="38"/>
      <c r="R259" s="38"/>
      <c r="S259" s="38"/>
      <c r="T259" s="38"/>
      <c r="U259" s="38"/>
      <c r="V259" s="38"/>
    </row>
    <row r="260">
      <c r="A260" s="75">
        <v>46141.0</v>
      </c>
      <c r="B260" s="27" t="s">
        <v>35</v>
      </c>
      <c r="C260" s="27">
        <v>8.86618177071E11</v>
      </c>
      <c r="D260" s="28" t="s">
        <v>67</v>
      </c>
      <c r="E260" s="27">
        <v>1.0</v>
      </c>
      <c r="F260" s="27"/>
      <c r="G260" s="27" t="s">
        <v>35</v>
      </c>
      <c r="H260" s="28">
        <v>10133.0</v>
      </c>
      <c r="I260" s="30" t="str">
        <f t="shared" si="1"/>
        <v>10133-GSB-N/A</v>
      </c>
      <c r="J260" s="31" t="s">
        <v>569</v>
      </c>
      <c r="K260" s="25" t="s">
        <v>453</v>
      </c>
      <c r="L260" s="34">
        <v>46142.0</v>
      </c>
      <c r="M260" s="35" t="s">
        <v>139</v>
      </c>
      <c r="N260" s="2"/>
      <c r="O260" s="51"/>
      <c r="P260" s="37"/>
      <c r="Q260" s="38"/>
      <c r="R260" s="38"/>
      <c r="S260" s="38"/>
      <c r="T260" s="38"/>
      <c r="U260" s="38"/>
      <c r="V260" s="38"/>
    </row>
    <row r="261">
      <c r="A261" s="75">
        <v>46141.0</v>
      </c>
      <c r="B261" s="27" t="s">
        <v>35</v>
      </c>
      <c r="C261" s="27" t="s">
        <v>257</v>
      </c>
      <c r="D261" s="28" t="s">
        <v>57</v>
      </c>
      <c r="E261" s="27">
        <v>1.0</v>
      </c>
      <c r="F261" s="27"/>
      <c r="G261" s="27" t="s">
        <v>35</v>
      </c>
      <c r="H261" s="28">
        <v>4815.0</v>
      </c>
      <c r="I261" s="30" t="str">
        <f t="shared" si="1"/>
        <v>4815-GSB-N/A</v>
      </c>
      <c r="J261" s="31" t="s">
        <v>569</v>
      </c>
      <c r="K261" s="25" t="s">
        <v>453</v>
      </c>
      <c r="L261" s="34">
        <v>46142.0</v>
      </c>
      <c r="M261" s="35" t="s">
        <v>139</v>
      </c>
      <c r="N261" s="2">
        <v>3187.0</v>
      </c>
      <c r="O261" s="36" t="s">
        <v>697</v>
      </c>
      <c r="P261" s="37">
        <v>46253.0</v>
      </c>
      <c r="Q261" s="38"/>
      <c r="R261" s="38"/>
      <c r="S261" s="38"/>
      <c r="T261" s="38"/>
      <c r="U261" s="38"/>
      <c r="V261" s="38"/>
    </row>
    <row r="262">
      <c r="A262" s="75">
        <v>46141.0</v>
      </c>
      <c r="B262" s="27" t="s">
        <v>35</v>
      </c>
      <c r="C262" s="27" t="s">
        <v>35</v>
      </c>
      <c r="D262" s="28" t="s">
        <v>193</v>
      </c>
      <c r="E262" s="27">
        <v>1.0</v>
      </c>
      <c r="F262" s="27"/>
      <c r="G262" s="27" t="s">
        <v>700</v>
      </c>
      <c r="H262" s="28">
        <v>2161.0</v>
      </c>
      <c r="I262" s="30" t="str">
        <f t="shared" si="1"/>
        <v>2161-GSB-SDS-1034630</v>
      </c>
      <c r="J262" s="31" t="s">
        <v>569</v>
      </c>
      <c r="K262" s="25" t="s">
        <v>453</v>
      </c>
      <c r="L262" s="34">
        <v>46142.0</v>
      </c>
      <c r="M262" s="35" t="s">
        <v>139</v>
      </c>
      <c r="N262" s="2"/>
      <c r="O262" s="51"/>
      <c r="P262" s="37"/>
      <c r="Q262" s="38"/>
      <c r="R262" s="38"/>
      <c r="S262" s="38"/>
      <c r="T262" s="38"/>
      <c r="U262" s="38"/>
      <c r="V262" s="38"/>
    </row>
    <row r="263">
      <c r="A263" s="75">
        <v>46141.0</v>
      </c>
      <c r="B263" s="27" t="s">
        <v>35</v>
      </c>
      <c r="C263" s="27" t="s">
        <v>35</v>
      </c>
      <c r="D263" s="28" t="s">
        <v>2</v>
      </c>
      <c r="E263" s="27">
        <v>1.0</v>
      </c>
      <c r="F263" s="27"/>
      <c r="G263" s="27" t="s">
        <v>703</v>
      </c>
      <c r="H263" s="28">
        <v>2219.0</v>
      </c>
      <c r="I263" s="30" t="str">
        <f t="shared" si="1"/>
        <v>2219-GSB-SDS-1034703</v>
      </c>
      <c r="J263" s="31" t="s">
        <v>569</v>
      </c>
      <c r="K263" s="25" t="s">
        <v>453</v>
      </c>
      <c r="L263" s="34">
        <v>46142.0</v>
      </c>
      <c r="M263" s="35" t="s">
        <v>139</v>
      </c>
      <c r="N263" s="2">
        <v>3190.0</v>
      </c>
      <c r="O263" s="36" t="s">
        <v>142</v>
      </c>
      <c r="P263" s="37">
        <v>46258.0</v>
      </c>
      <c r="Q263" s="38"/>
      <c r="R263" s="38"/>
      <c r="S263" s="38"/>
      <c r="T263" s="38"/>
      <c r="U263" s="38"/>
      <c r="V263" s="38"/>
    </row>
    <row r="264">
      <c r="A264" s="75">
        <v>46141.0</v>
      </c>
      <c r="B264" s="27" t="s">
        <v>35</v>
      </c>
      <c r="C264" s="27" t="s">
        <v>108</v>
      </c>
      <c r="D264" s="28" t="s">
        <v>43</v>
      </c>
      <c r="E264" s="27">
        <v>1.0</v>
      </c>
      <c r="F264" s="27"/>
      <c r="G264" s="27" t="s">
        <v>35</v>
      </c>
      <c r="H264" s="28">
        <v>2383.0</v>
      </c>
      <c r="I264" s="30" t="str">
        <f t="shared" si="1"/>
        <v>2383-GSB-N/A</v>
      </c>
      <c r="J264" s="31" t="s">
        <v>569</v>
      </c>
      <c r="K264" s="25" t="s">
        <v>453</v>
      </c>
      <c r="L264" s="34">
        <v>46142.0</v>
      </c>
      <c r="M264" s="35" t="s">
        <v>139</v>
      </c>
      <c r="N264" s="2">
        <v>3187.0</v>
      </c>
      <c r="O264" s="36" t="s">
        <v>697</v>
      </c>
      <c r="P264" s="37">
        <v>46253.0</v>
      </c>
      <c r="Q264" s="38"/>
      <c r="R264" s="38"/>
      <c r="S264" s="38"/>
      <c r="T264" s="38"/>
      <c r="U264" s="38"/>
      <c r="V264" s="38"/>
    </row>
    <row r="265">
      <c r="A265" s="75">
        <v>46142.0</v>
      </c>
      <c r="B265" s="27">
        <v>2664.0</v>
      </c>
      <c r="C265" s="27">
        <v>7.709990800005E12</v>
      </c>
      <c r="D265" s="28" t="s">
        <v>566</v>
      </c>
      <c r="E265" s="27">
        <v>1.0</v>
      </c>
      <c r="F265" s="27"/>
      <c r="G265" s="27" t="s">
        <v>634</v>
      </c>
      <c r="H265" s="28" t="s">
        <v>35</v>
      </c>
      <c r="I265" s="30" t="str">
        <f t="shared" si="1"/>
        <v>N/A-GSB-BLISTEL X 5</v>
      </c>
      <c r="J265" s="31" t="s">
        <v>569</v>
      </c>
      <c r="K265" s="25" t="s">
        <v>453</v>
      </c>
      <c r="L265" s="34">
        <v>46142.0</v>
      </c>
      <c r="M265" s="35" t="s">
        <v>139</v>
      </c>
      <c r="N265" s="2">
        <v>3171.0</v>
      </c>
      <c r="O265" s="36"/>
      <c r="P265" s="37">
        <v>46161.0</v>
      </c>
      <c r="Q265" s="38"/>
      <c r="R265" s="38"/>
      <c r="S265" s="38"/>
      <c r="T265" s="38"/>
      <c r="U265" s="38"/>
      <c r="V265" s="38"/>
    </row>
    <row r="266">
      <c r="A266" s="75">
        <v>46141.0</v>
      </c>
      <c r="B266" s="27" t="s">
        <v>35</v>
      </c>
      <c r="C266" s="27" t="s">
        <v>35</v>
      </c>
      <c r="D266" s="94" t="s">
        <v>41</v>
      </c>
      <c r="E266" s="27">
        <v>1.0</v>
      </c>
      <c r="F266" s="27"/>
      <c r="G266" s="27" t="s">
        <v>35</v>
      </c>
      <c r="H266" s="28" t="s">
        <v>35</v>
      </c>
      <c r="I266" s="30" t="str">
        <f t="shared" si="1"/>
        <v>N/A-GSB-N/A</v>
      </c>
      <c r="J266" s="31" t="s">
        <v>569</v>
      </c>
      <c r="K266" s="27" t="s">
        <v>706</v>
      </c>
      <c r="L266" s="34">
        <v>46142.0</v>
      </c>
      <c r="M266" s="35" t="s">
        <v>139</v>
      </c>
      <c r="N266" s="2"/>
      <c r="O266" s="51"/>
      <c r="P266" s="37"/>
      <c r="Q266" s="38"/>
      <c r="R266" s="38"/>
      <c r="S266" s="38"/>
      <c r="T266" s="38"/>
      <c r="U266" s="38"/>
      <c r="V266" s="38"/>
    </row>
    <row r="267">
      <c r="A267" s="75">
        <v>46141.0</v>
      </c>
      <c r="B267" s="27" t="s">
        <v>35</v>
      </c>
      <c r="C267" s="27" t="s">
        <v>35</v>
      </c>
      <c r="D267" s="28" t="s">
        <v>51</v>
      </c>
      <c r="E267" s="27">
        <v>1.0</v>
      </c>
      <c r="F267" s="27"/>
      <c r="G267" s="27" t="s">
        <v>707</v>
      </c>
      <c r="H267" s="28">
        <v>1340.0</v>
      </c>
      <c r="I267" s="30" t="str">
        <f t="shared" si="1"/>
        <v>1340-GSB-SDS-1027572</v>
      </c>
      <c r="J267" s="31" t="s">
        <v>569</v>
      </c>
      <c r="K267" s="27" t="s">
        <v>706</v>
      </c>
      <c r="L267" s="34">
        <v>46142.0</v>
      </c>
      <c r="M267" s="35" t="s">
        <v>139</v>
      </c>
      <c r="N267" s="2"/>
      <c r="O267" s="51"/>
      <c r="P267" s="37"/>
      <c r="Q267" s="38"/>
      <c r="R267" s="38"/>
      <c r="S267" s="38"/>
      <c r="T267" s="38"/>
      <c r="U267" s="38"/>
      <c r="V267" s="38"/>
    </row>
    <row r="268">
      <c r="A268" s="75">
        <v>46141.0</v>
      </c>
      <c r="B268" s="27" t="s">
        <v>35</v>
      </c>
      <c r="C268" s="27" t="s">
        <v>35</v>
      </c>
      <c r="D268" s="28" t="s">
        <v>193</v>
      </c>
      <c r="E268" s="27">
        <v>1.0</v>
      </c>
      <c r="F268" s="27"/>
      <c r="G268" s="27" t="s">
        <v>194</v>
      </c>
      <c r="H268" s="28">
        <v>2174.0</v>
      </c>
      <c r="I268" s="30" t="str">
        <f t="shared" si="1"/>
        <v>2174-GSB-SDS-1033589</v>
      </c>
      <c r="J268" s="31" t="s">
        <v>569</v>
      </c>
      <c r="K268" s="27" t="s">
        <v>706</v>
      </c>
      <c r="L268" s="34">
        <v>46142.0</v>
      </c>
      <c r="M268" s="35" t="s">
        <v>139</v>
      </c>
      <c r="N268" s="2"/>
      <c r="O268" s="51"/>
      <c r="P268" s="37"/>
      <c r="Q268" s="38"/>
      <c r="R268" s="38"/>
      <c r="S268" s="38"/>
      <c r="T268" s="38"/>
      <c r="U268" s="38"/>
      <c r="V268" s="38"/>
    </row>
    <row r="269">
      <c r="A269" s="23">
        <v>45897.0</v>
      </c>
      <c r="B269" s="25">
        <v>2.093501849E9</v>
      </c>
      <c r="C269" s="27">
        <v>4.998117557E9</v>
      </c>
      <c r="D269" s="28" t="s">
        <v>5</v>
      </c>
      <c r="E269" s="27">
        <v>1.0</v>
      </c>
      <c r="F269" s="27"/>
      <c r="G269" s="27" t="s">
        <v>709</v>
      </c>
      <c r="H269" s="28">
        <v>5029.0</v>
      </c>
      <c r="I269" s="30" t="str">
        <f t="shared" si="1"/>
        <v>5029-GSB-092256847591000869</v>
      </c>
      <c r="J269" s="31" t="s">
        <v>569</v>
      </c>
      <c r="K269" s="27" t="s">
        <v>706</v>
      </c>
      <c r="L269" s="34">
        <v>46142.0</v>
      </c>
      <c r="M269" s="35" t="s">
        <v>139</v>
      </c>
      <c r="N269" s="2">
        <v>1330.0</v>
      </c>
      <c r="O269" s="36" t="s">
        <v>710</v>
      </c>
      <c r="P269" s="37">
        <v>46153.0</v>
      </c>
      <c r="Q269" s="38"/>
      <c r="R269" s="38"/>
      <c r="S269" s="38"/>
      <c r="T269" s="38"/>
      <c r="U269" s="38"/>
      <c r="V269" s="38"/>
    </row>
    <row r="270">
      <c r="A270" s="23">
        <v>45897.0</v>
      </c>
      <c r="B270" s="27" t="s">
        <v>35</v>
      </c>
      <c r="C270" s="27">
        <v>4.998114565E9</v>
      </c>
      <c r="D270" s="28" t="s">
        <v>2</v>
      </c>
      <c r="E270" s="27">
        <v>1.0</v>
      </c>
      <c r="F270" s="27"/>
      <c r="G270" s="27" t="s">
        <v>711</v>
      </c>
      <c r="H270" s="28">
        <v>2212.0</v>
      </c>
      <c r="I270" s="30" t="str">
        <f t="shared" si="1"/>
        <v>2212-GSB-SDS1034660</v>
      </c>
      <c r="J270" s="31" t="s">
        <v>569</v>
      </c>
      <c r="K270" s="27" t="s">
        <v>706</v>
      </c>
      <c r="L270" s="34">
        <v>46142.0</v>
      </c>
      <c r="M270" s="35" t="s">
        <v>139</v>
      </c>
      <c r="N270" s="2"/>
      <c r="O270" s="51"/>
      <c r="P270" s="37"/>
      <c r="Q270" s="38"/>
      <c r="R270" s="38"/>
      <c r="S270" s="38"/>
      <c r="T270" s="38"/>
      <c r="U270" s="38"/>
      <c r="V270" s="38"/>
    </row>
    <row r="271">
      <c r="A271" s="75">
        <v>46085.0</v>
      </c>
      <c r="B271" s="27" t="s">
        <v>135</v>
      </c>
      <c r="C271" s="27">
        <v>6.76544009023E11</v>
      </c>
      <c r="D271" s="28" t="s">
        <v>47</v>
      </c>
      <c r="E271" s="27">
        <v>1.0</v>
      </c>
      <c r="F271" s="27"/>
      <c r="G271" s="27" t="s">
        <v>35</v>
      </c>
      <c r="H271" s="28">
        <v>10094.0</v>
      </c>
      <c r="I271" s="30" t="str">
        <f t="shared" si="1"/>
        <v>10094-GSB-N/A</v>
      </c>
      <c r="J271" s="31" t="s">
        <v>569</v>
      </c>
      <c r="K271" s="27" t="s">
        <v>706</v>
      </c>
      <c r="L271" s="34">
        <v>46142.0</v>
      </c>
      <c r="M271" s="35" t="s">
        <v>139</v>
      </c>
      <c r="N271" s="2"/>
      <c r="O271" s="51"/>
      <c r="P271" s="37"/>
      <c r="Q271" s="38"/>
      <c r="R271" s="38"/>
      <c r="S271" s="38"/>
      <c r="T271" s="38"/>
      <c r="U271" s="38"/>
      <c r="V271" s="38"/>
    </row>
    <row r="272">
      <c r="A272" s="23">
        <v>46078.0</v>
      </c>
      <c r="B272" s="27" t="s">
        <v>375</v>
      </c>
      <c r="C272" s="27">
        <v>8.86618177071E11</v>
      </c>
      <c r="D272" s="28" t="s">
        <v>67</v>
      </c>
      <c r="E272" s="27">
        <v>1.0</v>
      </c>
      <c r="F272" s="27"/>
      <c r="G272" s="27" t="s">
        <v>35</v>
      </c>
      <c r="H272" s="28">
        <v>10035.0</v>
      </c>
      <c r="I272" s="30" t="str">
        <f t="shared" si="1"/>
        <v>10035-GSB-N/A</v>
      </c>
      <c r="J272" s="31" t="s">
        <v>569</v>
      </c>
      <c r="K272" s="27" t="s">
        <v>706</v>
      </c>
      <c r="L272" s="34">
        <v>46142.0</v>
      </c>
      <c r="M272" s="35" t="s">
        <v>139</v>
      </c>
      <c r="N272" s="2"/>
      <c r="O272" s="51"/>
      <c r="P272" s="37"/>
      <c r="Q272" s="38"/>
      <c r="R272" s="38"/>
      <c r="S272" s="38"/>
      <c r="T272" s="38"/>
      <c r="U272" s="38"/>
      <c r="V272" s="38"/>
    </row>
    <row r="273">
      <c r="A273" s="23">
        <v>46083.0</v>
      </c>
      <c r="B273" s="27" t="s">
        <v>35</v>
      </c>
      <c r="C273" s="27">
        <v>7.703240073126E12</v>
      </c>
      <c r="D273" s="28" t="s">
        <v>333</v>
      </c>
      <c r="E273" s="27">
        <v>1.0</v>
      </c>
      <c r="F273" s="27"/>
      <c r="G273" s="27" t="s">
        <v>35</v>
      </c>
      <c r="H273" s="28">
        <v>10046.0</v>
      </c>
      <c r="I273" s="30" t="str">
        <f t="shared" si="1"/>
        <v>10046-GSB-N/A</v>
      </c>
      <c r="J273" s="31" t="s">
        <v>569</v>
      </c>
      <c r="K273" s="27" t="s">
        <v>706</v>
      </c>
      <c r="L273" s="34">
        <v>46142.0</v>
      </c>
      <c r="M273" s="35" t="s">
        <v>139</v>
      </c>
      <c r="N273" s="2">
        <v>30812.0</v>
      </c>
      <c r="O273" s="36" t="s">
        <v>715</v>
      </c>
      <c r="P273" s="37">
        <v>46165.0</v>
      </c>
      <c r="Q273" s="38"/>
      <c r="R273" s="38"/>
      <c r="S273" s="38"/>
      <c r="T273" s="38"/>
      <c r="U273" s="38"/>
      <c r="V273" s="38"/>
    </row>
    <row r="274">
      <c r="A274" s="75">
        <v>46141.0</v>
      </c>
      <c r="B274" s="27" t="s">
        <v>35</v>
      </c>
      <c r="C274" s="27" t="s">
        <v>35</v>
      </c>
      <c r="D274" s="28" t="s">
        <v>57</v>
      </c>
      <c r="E274" s="27">
        <v>1.0</v>
      </c>
      <c r="F274" s="27"/>
      <c r="G274" s="27" t="s">
        <v>35</v>
      </c>
      <c r="H274" s="28">
        <v>10112.0</v>
      </c>
      <c r="I274" s="30" t="str">
        <f t="shared" si="1"/>
        <v>10112-GSB-N/A</v>
      </c>
      <c r="J274" s="31" t="s">
        <v>569</v>
      </c>
      <c r="K274" s="27" t="s">
        <v>706</v>
      </c>
      <c r="L274" s="34">
        <v>46142.0</v>
      </c>
      <c r="M274" s="35" t="s">
        <v>139</v>
      </c>
      <c r="N274" s="2"/>
      <c r="O274" s="51"/>
      <c r="P274" s="37"/>
      <c r="Q274" s="38"/>
      <c r="R274" s="38"/>
      <c r="S274" s="38"/>
      <c r="T274" s="38"/>
      <c r="U274" s="38"/>
      <c r="V274" s="38"/>
    </row>
    <row r="275">
      <c r="A275" s="75">
        <v>46141.0</v>
      </c>
      <c r="B275" s="27" t="s">
        <v>35</v>
      </c>
      <c r="C275" s="27" t="s">
        <v>340</v>
      </c>
      <c r="D275" s="28" t="s">
        <v>31</v>
      </c>
      <c r="E275" s="27">
        <v>1.0</v>
      </c>
      <c r="F275" s="27"/>
      <c r="G275" s="27" t="s">
        <v>35</v>
      </c>
      <c r="H275" s="28">
        <v>1047.0</v>
      </c>
      <c r="I275" s="30" t="str">
        <f t="shared" si="1"/>
        <v>1047-GSB-N/A</v>
      </c>
      <c r="J275" s="31" t="s">
        <v>569</v>
      </c>
      <c r="K275" s="27" t="s">
        <v>706</v>
      </c>
      <c r="L275" s="34">
        <v>46142.0</v>
      </c>
      <c r="M275" s="35" t="s">
        <v>139</v>
      </c>
      <c r="N275" s="2">
        <v>30812.0</v>
      </c>
      <c r="O275" s="36" t="s">
        <v>715</v>
      </c>
      <c r="P275" s="37">
        <v>46165.0</v>
      </c>
      <c r="Q275" s="38"/>
      <c r="R275" s="38"/>
      <c r="S275" s="38"/>
      <c r="T275" s="38"/>
      <c r="U275" s="38"/>
      <c r="V275" s="38"/>
    </row>
    <row r="276">
      <c r="A276" s="75">
        <v>46141.0</v>
      </c>
      <c r="B276" s="27" t="s">
        <v>35</v>
      </c>
      <c r="C276" s="27" t="s">
        <v>108</v>
      </c>
      <c r="D276" s="28" t="s">
        <v>43</v>
      </c>
      <c r="E276" s="27">
        <v>1.0</v>
      </c>
      <c r="F276" s="27"/>
      <c r="G276" s="27" t="s">
        <v>35</v>
      </c>
      <c r="H276" s="28">
        <v>7527.0</v>
      </c>
      <c r="I276" s="30" t="str">
        <f t="shared" si="1"/>
        <v>7527-GSB-N/A</v>
      </c>
      <c r="J276" s="31" t="s">
        <v>569</v>
      </c>
      <c r="K276" s="27" t="s">
        <v>706</v>
      </c>
      <c r="L276" s="34">
        <v>46142.0</v>
      </c>
      <c r="M276" s="35" t="s">
        <v>139</v>
      </c>
      <c r="N276" s="2"/>
      <c r="O276" s="51"/>
      <c r="P276" s="37"/>
      <c r="Q276" s="38"/>
      <c r="R276" s="38"/>
      <c r="S276" s="38"/>
      <c r="T276" s="38"/>
      <c r="U276" s="38"/>
      <c r="V276" s="38"/>
    </row>
    <row r="277">
      <c r="A277" s="75">
        <v>46141.0</v>
      </c>
      <c r="B277" s="27" t="s">
        <v>35</v>
      </c>
      <c r="C277" s="27" t="s">
        <v>202</v>
      </c>
      <c r="D277" s="28" t="s">
        <v>50</v>
      </c>
      <c r="E277" s="27">
        <v>1.0</v>
      </c>
      <c r="F277" s="27"/>
      <c r="G277" s="27" t="s">
        <v>119</v>
      </c>
      <c r="H277" s="28">
        <v>2431.0</v>
      </c>
      <c r="I277" s="30" t="str">
        <f t="shared" si="1"/>
        <v>2431-GSB-042163653706100213</v>
      </c>
      <c r="J277" s="31" t="s">
        <v>569</v>
      </c>
      <c r="K277" s="27" t="s">
        <v>706</v>
      </c>
      <c r="L277" s="34">
        <v>46142.0</v>
      </c>
      <c r="M277" s="35" t="s">
        <v>139</v>
      </c>
      <c r="N277" s="96">
        <v>590.0</v>
      </c>
      <c r="O277" s="36" t="s">
        <v>719</v>
      </c>
      <c r="P277" s="37">
        <v>46146.0</v>
      </c>
      <c r="Q277" s="38"/>
      <c r="R277" s="38"/>
      <c r="S277" s="38"/>
      <c r="T277" s="38"/>
      <c r="U277" s="38"/>
      <c r="V277" s="38"/>
    </row>
    <row r="278">
      <c r="A278" s="75">
        <v>46142.0</v>
      </c>
      <c r="B278" s="27">
        <v>2664.0</v>
      </c>
      <c r="C278" s="27">
        <v>7.709990800005E12</v>
      </c>
      <c r="D278" s="28" t="s">
        <v>566</v>
      </c>
      <c r="E278" s="27">
        <v>1.0</v>
      </c>
      <c r="F278" s="27"/>
      <c r="G278" s="27" t="s">
        <v>634</v>
      </c>
      <c r="H278" s="28" t="s">
        <v>35</v>
      </c>
      <c r="I278" s="30" t="str">
        <f t="shared" si="1"/>
        <v>N/A-GSB-BLISTEL X 5</v>
      </c>
      <c r="J278" s="31" t="s">
        <v>569</v>
      </c>
      <c r="K278" s="27" t="s">
        <v>706</v>
      </c>
      <c r="L278" s="34">
        <v>46142.0</v>
      </c>
      <c r="M278" s="35" t="s">
        <v>139</v>
      </c>
      <c r="N278" s="2" t="s">
        <v>721</v>
      </c>
      <c r="O278" s="36" t="s">
        <v>723</v>
      </c>
      <c r="P278" s="2" t="s">
        <v>724</v>
      </c>
      <c r="Q278" s="38"/>
      <c r="R278" s="38"/>
      <c r="S278" s="38"/>
      <c r="T278" s="38"/>
      <c r="U278" s="38"/>
      <c r="V278" s="38"/>
    </row>
    <row r="279">
      <c r="A279" s="75">
        <v>46085.0</v>
      </c>
      <c r="B279" s="27" t="s">
        <v>135</v>
      </c>
      <c r="C279" s="27">
        <v>6.76544009023E11</v>
      </c>
      <c r="D279" s="28" t="s">
        <v>47</v>
      </c>
      <c r="E279" s="27">
        <v>1.0</v>
      </c>
      <c r="F279" s="27"/>
      <c r="G279" s="27" t="s">
        <v>35</v>
      </c>
      <c r="H279" s="28">
        <v>10098.0</v>
      </c>
      <c r="I279" s="30" t="str">
        <f t="shared" si="1"/>
        <v>10098-GSB-N/A</v>
      </c>
      <c r="J279" s="31" t="s">
        <v>725</v>
      </c>
      <c r="K279" s="27" t="s">
        <v>152</v>
      </c>
      <c r="L279" s="34">
        <v>46150.0</v>
      </c>
      <c r="M279" s="35" t="s">
        <v>60</v>
      </c>
      <c r="N279" s="2">
        <v>3069.0</v>
      </c>
      <c r="O279" s="36" t="s">
        <v>727</v>
      </c>
      <c r="P279" s="37">
        <v>46155.0</v>
      </c>
      <c r="Q279" s="38"/>
      <c r="R279" s="38"/>
      <c r="S279" s="38"/>
      <c r="T279" s="38"/>
      <c r="U279" s="38"/>
      <c r="V279" s="38"/>
    </row>
    <row r="280">
      <c r="A280" s="75">
        <v>46085.0</v>
      </c>
      <c r="B280" s="27" t="s">
        <v>345</v>
      </c>
      <c r="C280" s="27">
        <v>8.86618177071E11</v>
      </c>
      <c r="D280" s="92" t="s">
        <v>67</v>
      </c>
      <c r="E280" s="35">
        <v>1.0</v>
      </c>
      <c r="F280" s="35"/>
      <c r="G280" s="35" t="s">
        <v>35</v>
      </c>
      <c r="H280" s="92">
        <v>10176.0</v>
      </c>
      <c r="I280" s="97" t="str">
        <f t="shared" si="1"/>
        <v>10176-GSB-N/A</v>
      </c>
      <c r="J280" s="48" t="s">
        <v>725</v>
      </c>
      <c r="K280" s="27" t="s">
        <v>152</v>
      </c>
      <c r="L280" s="34">
        <v>46150.0</v>
      </c>
      <c r="M280" s="35" t="s">
        <v>60</v>
      </c>
      <c r="N280" s="2">
        <v>3069.0</v>
      </c>
      <c r="O280" s="36" t="s">
        <v>727</v>
      </c>
      <c r="P280" s="37">
        <v>46155.0</v>
      </c>
      <c r="Q280" s="38"/>
      <c r="R280" s="38"/>
      <c r="S280" s="38"/>
      <c r="T280" s="38"/>
      <c r="U280" s="38"/>
      <c r="V280" s="38"/>
    </row>
    <row r="281">
      <c r="A281" s="23">
        <v>46083.0</v>
      </c>
      <c r="B281" s="27" t="s">
        <v>35</v>
      </c>
      <c r="C281" s="27">
        <v>7.703240073126E12</v>
      </c>
      <c r="D281" s="28" t="s">
        <v>333</v>
      </c>
      <c r="E281" s="35">
        <v>1.0</v>
      </c>
      <c r="F281" s="35"/>
      <c r="G281" s="35" t="s">
        <v>35</v>
      </c>
      <c r="H281" s="92">
        <v>10048.0</v>
      </c>
      <c r="I281" s="97" t="str">
        <f t="shared" si="1"/>
        <v>10048-GSB-N/A</v>
      </c>
      <c r="J281" s="48" t="s">
        <v>725</v>
      </c>
      <c r="K281" s="27" t="s">
        <v>152</v>
      </c>
      <c r="L281" s="34">
        <v>46150.0</v>
      </c>
      <c r="M281" s="35" t="s">
        <v>60</v>
      </c>
      <c r="N281" s="2">
        <v>3069.0</v>
      </c>
      <c r="O281" s="36" t="s">
        <v>727</v>
      </c>
      <c r="P281" s="37">
        <v>46155.0</v>
      </c>
      <c r="Q281" s="38"/>
      <c r="R281" s="38"/>
      <c r="S281" s="38"/>
      <c r="T281" s="38"/>
      <c r="U281" s="38"/>
      <c r="V281" s="38"/>
    </row>
    <row r="282">
      <c r="A282" s="75">
        <v>46141.0</v>
      </c>
      <c r="B282" s="27" t="s">
        <v>35</v>
      </c>
      <c r="C282" s="25" t="s">
        <v>327</v>
      </c>
      <c r="D282" s="92" t="s">
        <v>328</v>
      </c>
      <c r="E282" s="35">
        <v>1.0</v>
      </c>
      <c r="F282" s="35"/>
      <c r="G282" s="35" t="s">
        <v>731</v>
      </c>
      <c r="H282" s="92">
        <v>10131.0</v>
      </c>
      <c r="I282" s="97" t="str">
        <f t="shared" si="1"/>
        <v>10131-GSB-042239627826100208</v>
      </c>
      <c r="J282" s="48" t="s">
        <v>725</v>
      </c>
      <c r="K282" s="27" t="s">
        <v>152</v>
      </c>
      <c r="L282" s="34">
        <v>46150.0</v>
      </c>
      <c r="M282" s="35" t="s">
        <v>60</v>
      </c>
      <c r="N282" s="2">
        <v>3070.0</v>
      </c>
      <c r="O282" s="36" t="s">
        <v>733</v>
      </c>
      <c r="P282" s="37">
        <v>46163.0</v>
      </c>
      <c r="Q282" s="38"/>
      <c r="R282" s="38"/>
      <c r="S282" s="38"/>
      <c r="T282" s="38"/>
      <c r="U282" s="38"/>
      <c r="V282" s="38"/>
    </row>
    <row r="283">
      <c r="A283" s="98">
        <v>46142.0</v>
      </c>
      <c r="B283" s="35">
        <v>2664.0</v>
      </c>
      <c r="C283" s="35">
        <v>7.709990800005E12</v>
      </c>
      <c r="D283" s="92" t="s">
        <v>566</v>
      </c>
      <c r="E283" s="35">
        <v>1.0</v>
      </c>
      <c r="F283" s="99"/>
      <c r="G283" s="35" t="s">
        <v>634</v>
      </c>
      <c r="H283" s="92" t="s">
        <v>35</v>
      </c>
      <c r="I283" s="97" t="str">
        <f t="shared" si="1"/>
        <v>N/A-GSB-BLISTEL X 5</v>
      </c>
      <c r="J283" s="48" t="s">
        <v>725</v>
      </c>
      <c r="K283" s="27" t="s">
        <v>152</v>
      </c>
      <c r="L283" s="34">
        <v>46150.0</v>
      </c>
      <c r="M283" s="35" t="s">
        <v>60</v>
      </c>
      <c r="N283" s="2">
        <v>3077.0</v>
      </c>
      <c r="O283" s="36" t="s">
        <v>735</v>
      </c>
      <c r="P283" s="37">
        <v>46197.0</v>
      </c>
      <c r="Q283" s="38"/>
      <c r="R283" s="38"/>
      <c r="S283" s="38"/>
      <c r="T283" s="38"/>
      <c r="U283" s="38"/>
      <c r="V283" s="38"/>
    </row>
    <row r="284">
      <c r="A284" s="23">
        <v>46064.0</v>
      </c>
      <c r="B284" s="100" t="s">
        <v>94</v>
      </c>
      <c r="C284" s="35" t="s">
        <v>129</v>
      </c>
      <c r="D284" s="92" t="s">
        <v>296</v>
      </c>
      <c r="E284" s="35">
        <v>1.0</v>
      </c>
      <c r="F284" s="35"/>
      <c r="G284" s="35">
        <v>9.314034762786E16</v>
      </c>
      <c r="H284" s="92">
        <v>9121.0</v>
      </c>
      <c r="I284" s="97" t="str">
        <f t="shared" si="1"/>
        <v>9121-GSB-93140347627860000</v>
      </c>
      <c r="J284" s="48" t="s">
        <v>725</v>
      </c>
      <c r="K284" s="27" t="s">
        <v>152</v>
      </c>
      <c r="L284" s="34">
        <v>46150.0</v>
      </c>
      <c r="M284" s="35" t="s">
        <v>60</v>
      </c>
      <c r="N284" s="2">
        <v>3072.0</v>
      </c>
      <c r="O284" s="36" t="s">
        <v>158</v>
      </c>
      <c r="P284" s="37">
        <v>46184.0</v>
      </c>
      <c r="Q284" s="38"/>
      <c r="R284" s="38"/>
      <c r="S284" s="38"/>
      <c r="T284" s="38"/>
      <c r="U284" s="38"/>
      <c r="V284" s="38"/>
    </row>
    <row r="285">
      <c r="A285" s="98">
        <v>46132.0</v>
      </c>
      <c r="B285" s="27" t="s">
        <v>35</v>
      </c>
      <c r="C285" s="27" t="s">
        <v>35</v>
      </c>
      <c r="D285" s="94" t="s">
        <v>41</v>
      </c>
      <c r="E285" s="35">
        <v>1.0</v>
      </c>
      <c r="F285" s="99"/>
      <c r="G285" s="35" t="s">
        <v>35</v>
      </c>
      <c r="H285" s="92" t="s">
        <v>35</v>
      </c>
      <c r="I285" s="97" t="str">
        <f t="shared" si="1"/>
        <v>N/A-GSB-N/A</v>
      </c>
      <c r="J285" s="48" t="s">
        <v>725</v>
      </c>
      <c r="K285" s="27" t="s">
        <v>152</v>
      </c>
      <c r="L285" s="34">
        <v>46150.0</v>
      </c>
      <c r="M285" s="35" t="s">
        <v>60</v>
      </c>
      <c r="N285" s="2">
        <v>3078.0</v>
      </c>
      <c r="O285" s="36" t="s">
        <v>737</v>
      </c>
      <c r="P285" s="37">
        <v>46204.0</v>
      </c>
      <c r="Q285" s="38"/>
      <c r="R285" s="38"/>
      <c r="S285" s="38"/>
      <c r="T285" s="38"/>
      <c r="U285" s="38"/>
      <c r="V285" s="38"/>
    </row>
    <row r="286">
      <c r="A286" s="75">
        <v>46132.0</v>
      </c>
      <c r="B286" s="35" t="s">
        <v>35</v>
      </c>
      <c r="C286" s="35">
        <v>4.998114565E9</v>
      </c>
      <c r="D286" s="92" t="s">
        <v>2</v>
      </c>
      <c r="E286" s="35">
        <v>1.0</v>
      </c>
      <c r="F286" s="35"/>
      <c r="G286" s="35" t="s">
        <v>35</v>
      </c>
      <c r="H286" s="92">
        <v>10168.0</v>
      </c>
      <c r="I286" s="97" t="str">
        <f t="shared" si="1"/>
        <v>10168-GSB-N/A</v>
      </c>
      <c r="J286" s="48" t="s">
        <v>725</v>
      </c>
      <c r="K286" s="27" t="s">
        <v>152</v>
      </c>
      <c r="L286" s="34">
        <v>46150.0</v>
      </c>
      <c r="M286" s="35" t="s">
        <v>60</v>
      </c>
      <c r="N286" s="2">
        <v>3072.0</v>
      </c>
      <c r="O286" s="36" t="s">
        <v>158</v>
      </c>
      <c r="P286" s="37">
        <v>46184.0</v>
      </c>
      <c r="Q286" s="38"/>
      <c r="R286" s="38"/>
      <c r="S286" s="38"/>
      <c r="T286" s="38"/>
      <c r="U286" s="38"/>
      <c r="V286" s="38"/>
    </row>
    <row r="287">
      <c r="A287" s="98">
        <v>46132.0</v>
      </c>
      <c r="B287" s="27" t="s">
        <v>35</v>
      </c>
      <c r="C287" s="35" t="s">
        <v>202</v>
      </c>
      <c r="D287" s="92" t="s">
        <v>50</v>
      </c>
      <c r="E287" s="35">
        <v>1.0</v>
      </c>
      <c r="F287" s="99"/>
      <c r="G287" s="35" t="s">
        <v>418</v>
      </c>
      <c r="H287" s="92">
        <v>7642.0</v>
      </c>
      <c r="I287" s="97" t="str">
        <f t="shared" si="1"/>
        <v>7642-GSB-042163657330100344</v>
      </c>
      <c r="J287" s="48" t="s">
        <v>725</v>
      </c>
      <c r="K287" s="27" t="s">
        <v>152</v>
      </c>
      <c r="L287" s="34">
        <v>46150.0</v>
      </c>
      <c r="M287" s="35" t="s">
        <v>60</v>
      </c>
      <c r="N287" s="2">
        <v>3076.0</v>
      </c>
      <c r="O287" s="36" t="s">
        <v>740</v>
      </c>
      <c r="P287" s="37">
        <v>46192.0</v>
      </c>
      <c r="Q287" s="38"/>
      <c r="R287" s="38"/>
      <c r="S287" s="38"/>
      <c r="T287" s="38"/>
      <c r="U287" s="38"/>
      <c r="V287" s="38"/>
    </row>
    <row r="288">
      <c r="A288" s="98">
        <v>46148.0</v>
      </c>
      <c r="B288" s="35">
        <v>170502.0</v>
      </c>
      <c r="C288" s="35" t="s">
        <v>741</v>
      </c>
      <c r="D288" s="92" t="s">
        <v>742</v>
      </c>
      <c r="E288" s="35">
        <v>1.0</v>
      </c>
      <c r="F288" s="99"/>
      <c r="G288" s="35" t="s">
        <v>743</v>
      </c>
      <c r="H288" s="92">
        <v>10170.0</v>
      </c>
      <c r="I288" s="97" t="str">
        <f t="shared" si="1"/>
        <v>10170-GSB-042166647922110114</v>
      </c>
      <c r="J288" s="48" t="s">
        <v>725</v>
      </c>
      <c r="K288" s="27" t="s">
        <v>152</v>
      </c>
      <c r="L288" s="34">
        <v>46150.0</v>
      </c>
      <c r="M288" s="35" t="s">
        <v>60</v>
      </c>
      <c r="N288" s="2">
        <v>3073.0</v>
      </c>
      <c r="O288" s="36" t="s">
        <v>546</v>
      </c>
      <c r="P288" s="37">
        <v>46190.0</v>
      </c>
      <c r="Q288" s="38"/>
      <c r="R288" s="38"/>
      <c r="S288" s="38"/>
      <c r="T288" s="38"/>
      <c r="U288" s="38"/>
      <c r="V288" s="38"/>
    </row>
    <row r="289">
      <c r="A289" s="75">
        <v>46149.0</v>
      </c>
      <c r="B289" s="27" t="s">
        <v>135</v>
      </c>
      <c r="C289" s="27" t="s">
        <v>340</v>
      </c>
      <c r="D289" s="28" t="s">
        <v>31</v>
      </c>
      <c r="E289" s="35">
        <v>1.0</v>
      </c>
      <c r="F289" s="35"/>
      <c r="G289" s="35" t="s">
        <v>35</v>
      </c>
      <c r="H289" s="92">
        <v>10070.0</v>
      </c>
      <c r="I289" s="97" t="str">
        <f t="shared" si="1"/>
        <v>10070-GSB-N/A</v>
      </c>
      <c r="J289" s="48" t="s">
        <v>725</v>
      </c>
      <c r="K289" s="27" t="s">
        <v>152</v>
      </c>
      <c r="L289" s="34">
        <v>46150.0</v>
      </c>
      <c r="M289" s="35" t="s">
        <v>60</v>
      </c>
      <c r="N289" s="2">
        <v>3069.0</v>
      </c>
      <c r="O289" s="36" t="s">
        <v>727</v>
      </c>
      <c r="P289" s="37">
        <v>46155.0</v>
      </c>
      <c r="Q289" s="38"/>
      <c r="R289" s="38"/>
      <c r="S289" s="38"/>
      <c r="T289" s="38"/>
      <c r="U289" s="38"/>
      <c r="V289" s="38"/>
    </row>
    <row r="290">
      <c r="A290" s="75">
        <v>46149.0</v>
      </c>
      <c r="B290" s="27" t="s">
        <v>135</v>
      </c>
      <c r="C290" s="27" t="s">
        <v>340</v>
      </c>
      <c r="D290" s="28" t="s">
        <v>31</v>
      </c>
      <c r="E290" s="35">
        <v>1.0</v>
      </c>
      <c r="F290" s="35"/>
      <c r="G290" s="35" t="s">
        <v>35</v>
      </c>
      <c r="H290" s="92">
        <v>10069.0</v>
      </c>
      <c r="I290" s="97" t="str">
        <f t="shared" si="1"/>
        <v>10069-GSB-N/A</v>
      </c>
      <c r="J290" s="48" t="s">
        <v>725</v>
      </c>
      <c r="K290" s="27" t="s">
        <v>152</v>
      </c>
      <c r="L290" s="34">
        <v>46150.0</v>
      </c>
      <c r="M290" s="35" t="s">
        <v>60</v>
      </c>
      <c r="N290" s="2">
        <v>3068.0</v>
      </c>
      <c r="O290" s="36" t="s">
        <v>744</v>
      </c>
      <c r="P290" s="37">
        <v>46154.0</v>
      </c>
      <c r="Q290" s="38"/>
      <c r="R290" s="38"/>
      <c r="S290" s="38"/>
      <c r="T290" s="38"/>
      <c r="U290" s="38"/>
      <c r="V290" s="38"/>
    </row>
    <row r="291">
      <c r="A291" s="75">
        <v>46149.0</v>
      </c>
      <c r="B291" s="27" t="s">
        <v>345</v>
      </c>
      <c r="C291" s="27">
        <v>8.86618177071E11</v>
      </c>
      <c r="D291" s="92" t="s">
        <v>67</v>
      </c>
      <c r="E291" s="35">
        <v>1.0</v>
      </c>
      <c r="F291" s="35"/>
      <c r="G291" s="35" t="s">
        <v>35</v>
      </c>
      <c r="H291" s="92">
        <v>10079.0</v>
      </c>
      <c r="I291" s="97" t="str">
        <f t="shared" si="1"/>
        <v>10079-GSB-N/A</v>
      </c>
      <c r="J291" s="48" t="s">
        <v>725</v>
      </c>
      <c r="K291" s="27" t="s">
        <v>152</v>
      </c>
      <c r="L291" s="34">
        <v>46150.0</v>
      </c>
      <c r="M291" s="35" t="s">
        <v>60</v>
      </c>
      <c r="N291" s="2">
        <v>3069.0</v>
      </c>
      <c r="O291" s="36" t="s">
        <v>727</v>
      </c>
      <c r="P291" s="37">
        <v>46155.0</v>
      </c>
      <c r="Q291" s="38"/>
      <c r="R291" s="38"/>
      <c r="S291" s="38"/>
      <c r="T291" s="38"/>
      <c r="U291" s="38"/>
      <c r="V291" s="38"/>
    </row>
    <row r="292">
      <c r="A292" s="75">
        <v>46085.0</v>
      </c>
      <c r="B292" s="27" t="s">
        <v>135</v>
      </c>
      <c r="C292" s="27" t="s">
        <v>340</v>
      </c>
      <c r="D292" s="28" t="s">
        <v>31</v>
      </c>
      <c r="E292" s="27">
        <v>1.0</v>
      </c>
      <c r="F292" s="27"/>
      <c r="G292" s="27" t="s">
        <v>35</v>
      </c>
      <c r="H292" s="28">
        <v>10055.0</v>
      </c>
      <c r="I292" s="30" t="str">
        <f t="shared" si="1"/>
        <v>10055-GSB-N/A</v>
      </c>
      <c r="J292" s="31" t="s">
        <v>745</v>
      </c>
      <c r="K292" s="27" t="s">
        <v>85</v>
      </c>
      <c r="L292" s="34">
        <v>46150.0</v>
      </c>
      <c r="M292" s="35" t="s">
        <v>139</v>
      </c>
      <c r="N292" s="2">
        <v>3129.0</v>
      </c>
      <c r="O292" s="36" t="s">
        <v>662</v>
      </c>
      <c r="P292" s="37">
        <v>46155.0</v>
      </c>
      <c r="Q292" s="38"/>
      <c r="R292" s="38"/>
      <c r="S292" s="38"/>
      <c r="T292" s="38"/>
      <c r="U292" s="38"/>
      <c r="V292" s="38"/>
    </row>
    <row r="293">
      <c r="A293" s="75">
        <v>46085.0</v>
      </c>
      <c r="B293" s="27" t="s">
        <v>135</v>
      </c>
      <c r="C293" s="27" t="s">
        <v>340</v>
      </c>
      <c r="D293" s="28" t="s">
        <v>31</v>
      </c>
      <c r="E293" s="27">
        <v>1.0</v>
      </c>
      <c r="F293" s="27"/>
      <c r="G293" s="27" t="s">
        <v>35</v>
      </c>
      <c r="H293" s="28">
        <v>10056.0</v>
      </c>
      <c r="I293" s="30" t="str">
        <f t="shared" si="1"/>
        <v>10056-GSB-N/A</v>
      </c>
      <c r="J293" s="31" t="s">
        <v>745</v>
      </c>
      <c r="K293" s="27" t="s">
        <v>85</v>
      </c>
      <c r="L293" s="34">
        <v>46150.0</v>
      </c>
      <c r="M293" s="35" t="s">
        <v>139</v>
      </c>
      <c r="N293" s="2">
        <v>3129.0</v>
      </c>
      <c r="O293" s="36" t="s">
        <v>662</v>
      </c>
      <c r="P293" s="37">
        <v>46155.0</v>
      </c>
      <c r="Q293" s="38"/>
      <c r="R293" s="38"/>
      <c r="S293" s="38"/>
      <c r="T293" s="38"/>
      <c r="U293" s="38"/>
      <c r="V293" s="38"/>
    </row>
    <row r="294">
      <c r="A294" s="75">
        <v>46085.0</v>
      </c>
      <c r="B294" s="27" t="s">
        <v>135</v>
      </c>
      <c r="C294" s="27" t="s">
        <v>340</v>
      </c>
      <c r="D294" s="28" t="s">
        <v>31</v>
      </c>
      <c r="E294" s="27">
        <v>1.0</v>
      </c>
      <c r="F294" s="27"/>
      <c r="G294" s="27" t="s">
        <v>35</v>
      </c>
      <c r="H294" s="28">
        <v>10057.0</v>
      </c>
      <c r="I294" s="30" t="str">
        <f t="shared" si="1"/>
        <v>10057-GSB-N/A</v>
      </c>
      <c r="J294" s="31" t="s">
        <v>745</v>
      </c>
      <c r="K294" s="27" t="s">
        <v>85</v>
      </c>
      <c r="L294" s="34">
        <v>46150.0</v>
      </c>
      <c r="M294" s="35" t="s">
        <v>139</v>
      </c>
      <c r="N294" s="2">
        <v>3129.0</v>
      </c>
      <c r="O294" s="36" t="s">
        <v>662</v>
      </c>
      <c r="P294" s="37">
        <v>46155.0</v>
      </c>
      <c r="Q294" s="38"/>
      <c r="R294" s="38"/>
      <c r="S294" s="38"/>
      <c r="T294" s="38"/>
      <c r="U294" s="38"/>
      <c r="V294" s="38"/>
    </row>
    <row r="295">
      <c r="A295" s="75">
        <v>46085.0</v>
      </c>
      <c r="B295" s="27" t="s">
        <v>135</v>
      </c>
      <c r="C295" s="27" t="s">
        <v>340</v>
      </c>
      <c r="D295" s="28" t="s">
        <v>31</v>
      </c>
      <c r="E295" s="27">
        <v>1.0</v>
      </c>
      <c r="F295" s="27"/>
      <c r="G295" s="27" t="s">
        <v>35</v>
      </c>
      <c r="H295" s="28">
        <v>10058.0</v>
      </c>
      <c r="I295" s="30" t="str">
        <f t="shared" si="1"/>
        <v>10058-GSB-N/A</v>
      </c>
      <c r="J295" s="31" t="s">
        <v>745</v>
      </c>
      <c r="K295" s="27" t="s">
        <v>85</v>
      </c>
      <c r="L295" s="34">
        <v>46150.0</v>
      </c>
      <c r="M295" s="35" t="s">
        <v>139</v>
      </c>
      <c r="N295" s="2">
        <v>3133.0</v>
      </c>
      <c r="O295" s="36" t="s">
        <v>658</v>
      </c>
      <c r="P295" s="37">
        <v>46168.0</v>
      </c>
      <c r="Q295" s="38"/>
      <c r="R295" s="38"/>
      <c r="S295" s="38"/>
      <c r="T295" s="38"/>
      <c r="U295" s="38"/>
      <c r="V295" s="38"/>
    </row>
    <row r="296">
      <c r="A296" s="23"/>
      <c r="B296" s="27" t="s">
        <v>35</v>
      </c>
      <c r="C296" s="27">
        <v>7.703240073126E12</v>
      </c>
      <c r="D296" s="28" t="s">
        <v>333</v>
      </c>
      <c r="E296" s="27">
        <v>1.0</v>
      </c>
      <c r="F296" s="27"/>
      <c r="G296" s="27" t="s">
        <v>35</v>
      </c>
      <c r="H296" s="28">
        <v>10177.0</v>
      </c>
      <c r="I296" s="70" t="str">
        <f t="shared" si="1"/>
        <v>10177-GSB-N/A</v>
      </c>
      <c r="J296" s="31" t="s">
        <v>745</v>
      </c>
      <c r="K296" s="27" t="s">
        <v>85</v>
      </c>
      <c r="L296" s="34">
        <v>46150.0</v>
      </c>
      <c r="M296" s="35" t="s">
        <v>139</v>
      </c>
      <c r="N296" s="2">
        <v>3130.0</v>
      </c>
      <c r="O296" s="36" t="s">
        <v>672</v>
      </c>
      <c r="P296" s="37">
        <v>46157.0</v>
      </c>
      <c r="Q296" s="38"/>
      <c r="R296" s="38"/>
      <c r="S296" s="38"/>
      <c r="T296" s="38"/>
      <c r="U296" s="38"/>
      <c r="V296" s="38"/>
    </row>
    <row r="297">
      <c r="A297" s="75">
        <v>46141.0</v>
      </c>
      <c r="B297" s="27" t="s">
        <v>35</v>
      </c>
      <c r="C297" s="27" t="s">
        <v>202</v>
      </c>
      <c r="D297" s="28" t="s">
        <v>45</v>
      </c>
      <c r="E297" s="27">
        <v>1.0</v>
      </c>
      <c r="F297" s="27"/>
      <c r="G297" s="27">
        <v>1026586.0</v>
      </c>
      <c r="H297" s="28">
        <v>10129.0</v>
      </c>
      <c r="I297" s="30" t="str">
        <f t="shared" si="1"/>
        <v>10129-GSB-1026586</v>
      </c>
      <c r="J297" s="31" t="s">
        <v>746</v>
      </c>
      <c r="K297" s="31" t="s">
        <v>747</v>
      </c>
      <c r="L297" s="34">
        <v>46150.0</v>
      </c>
      <c r="M297" s="35" t="s">
        <v>139</v>
      </c>
      <c r="N297" s="2">
        <v>1299.0</v>
      </c>
      <c r="O297" s="51" t="s">
        <v>748</v>
      </c>
      <c r="P297" s="37">
        <v>46155.0</v>
      </c>
      <c r="Q297" s="38"/>
      <c r="R297" s="38"/>
      <c r="S297" s="38"/>
      <c r="T297" s="38"/>
      <c r="U297" s="38"/>
      <c r="V297" s="38"/>
    </row>
    <row r="298">
      <c r="A298" s="101">
        <v>45897.0</v>
      </c>
      <c r="B298" s="35" t="s">
        <v>35</v>
      </c>
      <c r="C298" s="35">
        <v>4.998114565E9</v>
      </c>
      <c r="D298" s="92" t="s">
        <v>2</v>
      </c>
      <c r="E298" s="35">
        <v>1.0</v>
      </c>
      <c r="F298" s="35"/>
      <c r="G298" s="35" t="s">
        <v>749</v>
      </c>
      <c r="H298" s="92">
        <v>2216.0</v>
      </c>
      <c r="I298" s="97" t="str">
        <f t="shared" si="1"/>
        <v>2216-GSB-SDS1034690</v>
      </c>
      <c r="J298" s="48" t="s">
        <v>750</v>
      </c>
      <c r="K298" s="27" t="s">
        <v>152</v>
      </c>
      <c r="L298" s="34">
        <v>46156.0</v>
      </c>
      <c r="M298" s="35" t="s">
        <v>104</v>
      </c>
      <c r="N298" s="62">
        <v>31285.0</v>
      </c>
      <c r="O298" s="102" t="s">
        <v>529</v>
      </c>
      <c r="P298" s="58">
        <v>46206.0</v>
      </c>
      <c r="Q298" s="38"/>
      <c r="R298" s="38"/>
      <c r="S298" s="38"/>
      <c r="T298" s="38"/>
      <c r="U298" s="38"/>
      <c r="V298" s="38"/>
    </row>
    <row r="299">
      <c r="A299" s="101">
        <v>45897.0</v>
      </c>
      <c r="B299" s="35" t="s">
        <v>35</v>
      </c>
      <c r="C299" s="35">
        <v>4.998114565E9</v>
      </c>
      <c r="D299" s="92" t="s">
        <v>2</v>
      </c>
      <c r="E299" s="35">
        <v>1.0</v>
      </c>
      <c r="F299" s="35"/>
      <c r="G299" s="35" t="s">
        <v>751</v>
      </c>
      <c r="H299" s="92">
        <v>2211.0</v>
      </c>
      <c r="I299" s="97" t="str">
        <f t="shared" si="1"/>
        <v>2211-GSB-SDS1034751</v>
      </c>
      <c r="J299" s="48" t="s">
        <v>750</v>
      </c>
      <c r="K299" s="27" t="s">
        <v>152</v>
      </c>
      <c r="L299" s="34">
        <v>46156.0</v>
      </c>
      <c r="M299" s="35" t="s">
        <v>104</v>
      </c>
      <c r="N299" s="2">
        <v>3089.0</v>
      </c>
      <c r="O299" s="36" t="s">
        <v>752</v>
      </c>
      <c r="P299" s="63">
        <v>46247.0</v>
      </c>
      <c r="Q299" s="38"/>
      <c r="R299" s="38"/>
      <c r="S299" s="38"/>
      <c r="T299" s="38"/>
      <c r="U299" s="38"/>
      <c r="V299" s="38"/>
    </row>
    <row r="300">
      <c r="A300" s="101">
        <v>45897.0</v>
      </c>
      <c r="B300" s="35" t="s">
        <v>35</v>
      </c>
      <c r="C300" s="35">
        <v>4.998114565E9</v>
      </c>
      <c r="D300" s="92" t="s">
        <v>2</v>
      </c>
      <c r="E300" s="35">
        <v>1.0</v>
      </c>
      <c r="F300" s="35"/>
      <c r="G300" s="35" t="s">
        <v>753</v>
      </c>
      <c r="H300" s="92">
        <v>2220.0</v>
      </c>
      <c r="I300" s="97" t="str">
        <f t="shared" si="1"/>
        <v>2220-GSB-SDS1034740</v>
      </c>
      <c r="J300" s="100" t="s">
        <v>750</v>
      </c>
      <c r="K300" s="27" t="s">
        <v>152</v>
      </c>
      <c r="L300" s="64">
        <v>46156.0</v>
      </c>
      <c r="M300" s="35" t="s">
        <v>104</v>
      </c>
      <c r="N300" s="2">
        <v>3077.0</v>
      </c>
      <c r="O300" s="36" t="s">
        <v>735</v>
      </c>
      <c r="P300" s="37">
        <v>46197.0</v>
      </c>
      <c r="Q300" s="38"/>
      <c r="R300" s="38"/>
      <c r="S300" s="38"/>
      <c r="T300" s="38"/>
      <c r="U300" s="38"/>
      <c r="V300" s="38"/>
    </row>
    <row r="301">
      <c r="A301" s="101">
        <v>45897.0</v>
      </c>
      <c r="B301" s="35" t="s">
        <v>35</v>
      </c>
      <c r="C301" s="35">
        <v>4.998114565E9</v>
      </c>
      <c r="D301" s="92" t="s">
        <v>2</v>
      </c>
      <c r="E301" s="35">
        <v>1.0</v>
      </c>
      <c r="F301" s="35"/>
      <c r="G301" s="35" t="s">
        <v>754</v>
      </c>
      <c r="H301" s="92">
        <v>2221.0</v>
      </c>
      <c r="I301" s="97" t="str">
        <f t="shared" si="1"/>
        <v>2221-GSB-SDS1034720</v>
      </c>
      <c r="J301" s="100" t="s">
        <v>750</v>
      </c>
      <c r="K301" s="27" t="s">
        <v>152</v>
      </c>
      <c r="L301" s="64">
        <v>46156.0</v>
      </c>
      <c r="M301" s="35" t="s">
        <v>104</v>
      </c>
      <c r="N301" s="62">
        <v>31285.0</v>
      </c>
      <c r="O301" s="102" t="s">
        <v>529</v>
      </c>
      <c r="P301" s="58">
        <v>46206.0</v>
      </c>
      <c r="Q301" s="38"/>
      <c r="R301" s="38"/>
      <c r="S301" s="38"/>
      <c r="T301" s="38"/>
      <c r="U301" s="38"/>
      <c r="V301" s="38"/>
    </row>
    <row r="302">
      <c r="A302" s="23">
        <v>45897.0</v>
      </c>
      <c r="B302" s="25">
        <v>2.093501849E9</v>
      </c>
      <c r="C302" s="27" t="s">
        <v>202</v>
      </c>
      <c r="D302" s="28" t="s">
        <v>45</v>
      </c>
      <c r="E302" s="27">
        <v>1.0</v>
      </c>
      <c r="F302" s="27"/>
      <c r="G302" s="27" t="s">
        <v>755</v>
      </c>
      <c r="H302" s="28">
        <v>7009.0</v>
      </c>
      <c r="I302" s="30" t="str">
        <f t="shared" si="1"/>
        <v>7009-GSB-042259554007100081</v>
      </c>
      <c r="J302" s="25" t="s">
        <v>756</v>
      </c>
      <c r="K302" s="27" t="s">
        <v>492</v>
      </c>
      <c r="L302" s="64">
        <v>46161.0</v>
      </c>
      <c r="M302" s="35" t="s">
        <v>139</v>
      </c>
      <c r="N302" s="2">
        <v>3465.0</v>
      </c>
      <c r="O302" s="51" t="s">
        <v>561</v>
      </c>
      <c r="P302" s="37">
        <v>46168.0</v>
      </c>
      <c r="Q302" s="38"/>
      <c r="R302" s="38"/>
      <c r="S302" s="38"/>
      <c r="T302" s="38"/>
      <c r="U302" s="38"/>
      <c r="V302" s="38"/>
    </row>
    <row r="303">
      <c r="A303" s="23">
        <v>45897.0</v>
      </c>
      <c r="B303" s="25">
        <v>2.093501849E9</v>
      </c>
      <c r="C303" s="27" t="s">
        <v>202</v>
      </c>
      <c r="D303" s="28" t="s">
        <v>45</v>
      </c>
      <c r="E303" s="27">
        <v>1.0</v>
      </c>
      <c r="F303" s="27"/>
      <c r="G303" s="27" t="s">
        <v>757</v>
      </c>
      <c r="H303" s="28">
        <v>5398.0</v>
      </c>
      <c r="I303" s="30" t="str">
        <f t="shared" si="1"/>
        <v>5398-GSB-042259543823100033</v>
      </c>
      <c r="J303" s="25" t="s">
        <v>756</v>
      </c>
      <c r="K303" s="27" t="s">
        <v>492</v>
      </c>
      <c r="L303" s="64">
        <v>46161.0</v>
      </c>
      <c r="M303" s="35" t="s">
        <v>139</v>
      </c>
      <c r="N303" s="2">
        <v>3482.0</v>
      </c>
      <c r="O303" s="36" t="s">
        <v>337</v>
      </c>
      <c r="P303" s="63">
        <v>46191.0</v>
      </c>
      <c r="Q303" s="38"/>
      <c r="R303" s="38"/>
      <c r="S303" s="38"/>
      <c r="T303" s="38"/>
      <c r="U303" s="38"/>
      <c r="V303" s="38"/>
    </row>
    <row r="304">
      <c r="A304" s="27" t="s">
        <v>35</v>
      </c>
      <c r="B304" s="27" t="s">
        <v>35</v>
      </c>
      <c r="C304" s="27" t="s">
        <v>758</v>
      </c>
      <c r="D304" s="28" t="s">
        <v>759</v>
      </c>
      <c r="E304" s="27">
        <v>1.0</v>
      </c>
      <c r="F304" s="27"/>
      <c r="G304" s="27">
        <v>9.208517557314E16</v>
      </c>
      <c r="H304" s="28">
        <v>9064.0</v>
      </c>
      <c r="I304" s="30" t="str">
        <f t="shared" si="1"/>
        <v>9064-GSB-92085175573140000</v>
      </c>
      <c r="J304" s="25" t="s">
        <v>756</v>
      </c>
      <c r="K304" s="27" t="s">
        <v>55</v>
      </c>
      <c r="L304" s="64">
        <v>46161.0</v>
      </c>
      <c r="M304" s="35" t="s">
        <v>139</v>
      </c>
      <c r="N304" s="2">
        <v>3470.0</v>
      </c>
      <c r="O304" s="36" t="s">
        <v>561</v>
      </c>
      <c r="P304" s="37">
        <v>46168.0</v>
      </c>
      <c r="Q304" s="38"/>
      <c r="R304" s="38"/>
      <c r="S304" s="38"/>
      <c r="T304" s="38"/>
      <c r="U304" s="38"/>
      <c r="V304" s="38"/>
    </row>
    <row r="305">
      <c r="A305" s="75">
        <v>46085.0</v>
      </c>
      <c r="B305" s="27" t="s">
        <v>135</v>
      </c>
      <c r="C305" s="27" t="s">
        <v>340</v>
      </c>
      <c r="D305" s="28" t="s">
        <v>31</v>
      </c>
      <c r="E305" s="27">
        <v>1.0</v>
      </c>
      <c r="F305" s="27"/>
      <c r="G305" s="27" t="s">
        <v>35</v>
      </c>
      <c r="H305" s="28">
        <v>10054.0</v>
      </c>
      <c r="I305" s="30" t="str">
        <f t="shared" si="1"/>
        <v>10054-GSB-N/A</v>
      </c>
      <c r="J305" s="31" t="s">
        <v>756</v>
      </c>
      <c r="K305" s="27" t="s">
        <v>492</v>
      </c>
      <c r="L305" s="34">
        <v>46161.0</v>
      </c>
      <c r="M305" s="35" t="s">
        <v>139</v>
      </c>
      <c r="N305" s="2">
        <v>3465.0</v>
      </c>
      <c r="O305" s="51" t="s">
        <v>561</v>
      </c>
      <c r="P305" s="37">
        <v>46168.0</v>
      </c>
      <c r="Q305" s="38"/>
      <c r="R305" s="38"/>
      <c r="S305" s="38"/>
      <c r="T305" s="38"/>
      <c r="U305" s="38"/>
      <c r="V305" s="38"/>
    </row>
    <row r="306">
      <c r="A306" s="75">
        <v>46085.0</v>
      </c>
      <c r="B306" s="27" t="s">
        <v>135</v>
      </c>
      <c r="C306" s="27" t="s">
        <v>340</v>
      </c>
      <c r="D306" s="28" t="s">
        <v>31</v>
      </c>
      <c r="E306" s="27">
        <v>1.0</v>
      </c>
      <c r="F306" s="27"/>
      <c r="G306" s="27" t="s">
        <v>35</v>
      </c>
      <c r="H306" s="28">
        <v>10064.0</v>
      </c>
      <c r="I306" s="30" t="str">
        <f t="shared" si="1"/>
        <v>10064-GSB-N/A</v>
      </c>
      <c r="J306" s="31" t="s">
        <v>756</v>
      </c>
      <c r="K306" s="27" t="s">
        <v>492</v>
      </c>
      <c r="L306" s="34">
        <v>46161.0</v>
      </c>
      <c r="M306" s="35" t="s">
        <v>139</v>
      </c>
      <c r="N306" s="2">
        <v>3465.0</v>
      </c>
      <c r="O306" s="51" t="s">
        <v>561</v>
      </c>
      <c r="P306" s="37">
        <v>46168.0</v>
      </c>
      <c r="Q306" s="38"/>
      <c r="R306" s="38"/>
      <c r="S306" s="38"/>
      <c r="T306" s="38"/>
      <c r="U306" s="38"/>
      <c r="V306" s="38"/>
    </row>
    <row r="307">
      <c r="A307" s="75">
        <v>46132.0</v>
      </c>
      <c r="B307" s="27" t="s">
        <v>35</v>
      </c>
      <c r="C307" s="27" t="s">
        <v>327</v>
      </c>
      <c r="D307" s="28" t="s">
        <v>328</v>
      </c>
      <c r="E307" s="27">
        <v>1.0</v>
      </c>
      <c r="F307" s="27"/>
      <c r="G307" s="27" t="s">
        <v>432</v>
      </c>
      <c r="H307" s="28">
        <v>7930.0</v>
      </c>
      <c r="I307" s="30" t="str">
        <f t="shared" si="1"/>
        <v>7930-GSB-042239657416100164</v>
      </c>
      <c r="J307" s="25" t="s">
        <v>756</v>
      </c>
      <c r="K307" s="27" t="s">
        <v>492</v>
      </c>
      <c r="L307" s="64">
        <v>46161.0</v>
      </c>
      <c r="M307" s="35" t="s">
        <v>139</v>
      </c>
      <c r="N307" s="2">
        <v>3465.0</v>
      </c>
      <c r="O307" s="51" t="s">
        <v>561</v>
      </c>
      <c r="P307" s="37">
        <v>46168.0</v>
      </c>
      <c r="Q307" s="38"/>
      <c r="R307" s="38"/>
      <c r="S307" s="38"/>
      <c r="T307" s="38"/>
      <c r="U307" s="38"/>
      <c r="V307" s="38"/>
    </row>
    <row r="308">
      <c r="A308" s="75">
        <v>46141.0</v>
      </c>
      <c r="B308" s="27" t="s">
        <v>35</v>
      </c>
      <c r="C308" s="25" t="s">
        <v>327</v>
      </c>
      <c r="D308" s="28" t="s">
        <v>328</v>
      </c>
      <c r="E308" s="27">
        <v>1.0</v>
      </c>
      <c r="F308" s="27"/>
      <c r="G308" s="27" t="s">
        <v>760</v>
      </c>
      <c r="H308" s="28">
        <v>7774.0</v>
      </c>
      <c r="I308" s="30" t="str">
        <f t="shared" si="1"/>
        <v>7774-GSB-042239657406100354</v>
      </c>
      <c r="J308" s="25" t="s">
        <v>756</v>
      </c>
      <c r="K308" s="27" t="s">
        <v>492</v>
      </c>
      <c r="L308" s="64">
        <v>46161.0</v>
      </c>
      <c r="M308" s="35" t="s">
        <v>139</v>
      </c>
      <c r="N308" s="2">
        <v>3465.0</v>
      </c>
      <c r="O308" s="51" t="s">
        <v>561</v>
      </c>
      <c r="P308" s="37">
        <v>46168.0</v>
      </c>
      <c r="Q308" s="38"/>
      <c r="R308" s="38"/>
      <c r="S308" s="38"/>
      <c r="T308" s="38"/>
      <c r="U308" s="38"/>
      <c r="V308" s="38"/>
    </row>
    <row r="309">
      <c r="A309" s="75">
        <v>46142.0</v>
      </c>
      <c r="B309" s="27" t="s">
        <v>35</v>
      </c>
      <c r="C309" s="27" t="s">
        <v>327</v>
      </c>
      <c r="D309" s="28" t="s">
        <v>328</v>
      </c>
      <c r="E309" s="27">
        <v>1.0</v>
      </c>
      <c r="F309" s="27"/>
      <c r="G309" s="27" t="s">
        <v>474</v>
      </c>
      <c r="H309" s="28">
        <v>10157.0</v>
      </c>
      <c r="I309" s="30" t="str">
        <f t="shared" si="1"/>
        <v>10157-GSB-042239647712100313</v>
      </c>
      <c r="J309" s="25" t="s">
        <v>756</v>
      </c>
      <c r="K309" s="27" t="s">
        <v>492</v>
      </c>
      <c r="L309" s="64">
        <v>46161.0</v>
      </c>
      <c r="M309" s="35" t="s">
        <v>139</v>
      </c>
      <c r="N309" s="2">
        <v>3480.0</v>
      </c>
      <c r="O309" s="36" t="s">
        <v>337</v>
      </c>
      <c r="P309" s="63">
        <v>46183.0</v>
      </c>
      <c r="Q309" s="38"/>
      <c r="R309" s="38"/>
      <c r="S309" s="38"/>
      <c r="T309" s="38"/>
      <c r="U309" s="38"/>
      <c r="V309" s="38"/>
    </row>
    <row r="310">
      <c r="A310" s="75">
        <v>46142.0</v>
      </c>
      <c r="B310" s="27" t="s">
        <v>35</v>
      </c>
      <c r="C310" s="27" t="s">
        <v>327</v>
      </c>
      <c r="D310" s="28" t="s">
        <v>328</v>
      </c>
      <c r="E310" s="27">
        <v>1.0</v>
      </c>
      <c r="F310" s="27"/>
      <c r="G310" s="27" t="s">
        <v>475</v>
      </c>
      <c r="H310" s="28" t="s">
        <v>761</v>
      </c>
      <c r="I310" s="30" t="str">
        <f t="shared" si="1"/>
        <v>6340/10158-GSB-042239657406100352</v>
      </c>
      <c r="J310" s="25" t="s">
        <v>756</v>
      </c>
      <c r="K310" s="27" t="s">
        <v>492</v>
      </c>
      <c r="L310" s="64">
        <v>46161.0</v>
      </c>
      <c r="M310" s="35" t="s">
        <v>139</v>
      </c>
      <c r="N310" s="2">
        <v>3480.0</v>
      </c>
      <c r="O310" s="36" t="s">
        <v>337</v>
      </c>
      <c r="P310" s="63">
        <v>46183.0</v>
      </c>
      <c r="Q310" s="38"/>
      <c r="R310" s="38"/>
      <c r="S310" s="38"/>
      <c r="T310" s="38"/>
      <c r="U310" s="38"/>
      <c r="V310" s="38"/>
    </row>
    <row r="311">
      <c r="A311" s="75">
        <v>46141.0</v>
      </c>
      <c r="B311" s="27" t="s">
        <v>35</v>
      </c>
      <c r="C311" s="27" t="s">
        <v>35</v>
      </c>
      <c r="D311" s="28" t="s">
        <v>57</v>
      </c>
      <c r="E311" s="27">
        <v>1.0</v>
      </c>
      <c r="F311" s="27"/>
      <c r="G311" s="27" t="s">
        <v>35</v>
      </c>
      <c r="H311" s="28">
        <v>8536.0</v>
      </c>
      <c r="I311" s="30" t="str">
        <f t="shared" si="1"/>
        <v>8536-GSB-N/A</v>
      </c>
      <c r="J311" s="25" t="s">
        <v>756</v>
      </c>
      <c r="K311" s="27" t="s">
        <v>492</v>
      </c>
      <c r="L311" s="64">
        <v>46161.0</v>
      </c>
      <c r="M311" s="35" t="s">
        <v>139</v>
      </c>
      <c r="N311" s="2">
        <v>3482.0</v>
      </c>
      <c r="O311" s="36" t="s">
        <v>337</v>
      </c>
      <c r="P311" s="63">
        <v>46191.0</v>
      </c>
      <c r="Q311" s="38"/>
      <c r="R311" s="38"/>
      <c r="S311" s="38"/>
      <c r="T311" s="38"/>
      <c r="U311" s="38"/>
      <c r="V311" s="38"/>
    </row>
    <row r="312">
      <c r="A312" s="75">
        <v>46141.0</v>
      </c>
      <c r="B312" s="27" t="s">
        <v>35</v>
      </c>
      <c r="C312" s="27" t="s">
        <v>257</v>
      </c>
      <c r="D312" s="28" t="s">
        <v>57</v>
      </c>
      <c r="E312" s="27">
        <v>1.0</v>
      </c>
      <c r="F312" s="27"/>
      <c r="G312" s="27" t="s">
        <v>35</v>
      </c>
      <c r="H312" s="28">
        <v>2933.0</v>
      </c>
      <c r="I312" s="30" t="str">
        <f t="shared" si="1"/>
        <v>2933-GSB-N/A</v>
      </c>
      <c r="J312" s="25" t="s">
        <v>756</v>
      </c>
      <c r="K312" s="27" t="s">
        <v>492</v>
      </c>
      <c r="L312" s="64">
        <v>46161.0</v>
      </c>
      <c r="M312" s="35" t="s">
        <v>139</v>
      </c>
      <c r="N312" s="2">
        <v>3482.0</v>
      </c>
      <c r="O312" s="36" t="s">
        <v>337</v>
      </c>
      <c r="P312" s="63">
        <v>46191.0</v>
      </c>
      <c r="Q312" s="38"/>
      <c r="R312" s="38"/>
      <c r="S312" s="38"/>
      <c r="T312" s="38"/>
      <c r="U312" s="38"/>
      <c r="V312" s="38"/>
    </row>
    <row r="313">
      <c r="A313" s="98">
        <v>46141.0</v>
      </c>
      <c r="B313" s="27" t="s">
        <v>35</v>
      </c>
      <c r="C313" s="35" t="s">
        <v>257</v>
      </c>
      <c r="D313" s="92" t="s">
        <v>57</v>
      </c>
      <c r="E313" s="35">
        <v>1.0</v>
      </c>
      <c r="F313" s="35"/>
      <c r="G313" s="35" t="s">
        <v>35</v>
      </c>
      <c r="H313" s="92">
        <v>8598.0</v>
      </c>
      <c r="I313" s="97" t="str">
        <f t="shared" si="1"/>
        <v>8598-GSB-N/A</v>
      </c>
      <c r="J313" s="100" t="s">
        <v>756</v>
      </c>
      <c r="K313" s="35" t="s">
        <v>55</v>
      </c>
      <c r="L313" s="64">
        <v>46161.0</v>
      </c>
      <c r="M313" s="35" t="s">
        <v>139</v>
      </c>
      <c r="N313" s="2">
        <v>3482.0</v>
      </c>
      <c r="O313" s="36" t="s">
        <v>337</v>
      </c>
      <c r="P313" s="63">
        <v>46191.0</v>
      </c>
      <c r="Q313" s="38"/>
      <c r="R313" s="38"/>
      <c r="S313" s="38"/>
      <c r="T313" s="38"/>
      <c r="U313" s="38"/>
      <c r="V313" s="38"/>
    </row>
    <row r="314">
      <c r="A314" s="98">
        <v>46141.0</v>
      </c>
      <c r="B314" s="27" t="s">
        <v>35</v>
      </c>
      <c r="C314" s="35" t="s">
        <v>257</v>
      </c>
      <c r="D314" s="92" t="s">
        <v>57</v>
      </c>
      <c r="E314" s="35">
        <v>1.0</v>
      </c>
      <c r="F314" s="35"/>
      <c r="G314" s="35" t="s">
        <v>35</v>
      </c>
      <c r="H314" s="92">
        <v>8593.0</v>
      </c>
      <c r="I314" s="97" t="str">
        <f t="shared" si="1"/>
        <v>8593-GSB-N/A</v>
      </c>
      <c r="J314" s="100" t="s">
        <v>756</v>
      </c>
      <c r="K314" s="35" t="s">
        <v>492</v>
      </c>
      <c r="L314" s="64">
        <v>46161.0</v>
      </c>
      <c r="M314" s="35" t="s">
        <v>139</v>
      </c>
      <c r="N314" s="2">
        <v>3482.0</v>
      </c>
      <c r="O314" s="36" t="s">
        <v>337</v>
      </c>
      <c r="P314" s="63">
        <v>46191.0</v>
      </c>
      <c r="Q314" s="38"/>
      <c r="R314" s="38"/>
      <c r="S314" s="38"/>
      <c r="T314" s="38"/>
      <c r="U314" s="38"/>
      <c r="V314" s="38"/>
    </row>
    <row r="315">
      <c r="A315" s="98">
        <v>46141.0</v>
      </c>
      <c r="B315" s="27" t="s">
        <v>35</v>
      </c>
      <c r="C315" s="35" t="s">
        <v>257</v>
      </c>
      <c r="D315" s="92" t="s">
        <v>57</v>
      </c>
      <c r="E315" s="35">
        <v>1.0</v>
      </c>
      <c r="F315" s="35"/>
      <c r="G315" s="35" t="s">
        <v>35</v>
      </c>
      <c r="H315" s="92">
        <v>8517.0</v>
      </c>
      <c r="I315" s="97" t="str">
        <f t="shared" si="1"/>
        <v>8517-GSB-N/A</v>
      </c>
      <c r="J315" s="100" t="s">
        <v>756</v>
      </c>
      <c r="K315" s="35" t="s">
        <v>55</v>
      </c>
      <c r="L315" s="64">
        <v>46161.0</v>
      </c>
      <c r="M315" s="35" t="s">
        <v>139</v>
      </c>
      <c r="N315" s="2">
        <v>3482.0</v>
      </c>
      <c r="O315" s="36" t="s">
        <v>337</v>
      </c>
      <c r="P315" s="63">
        <v>46191.0</v>
      </c>
      <c r="Q315" s="38"/>
      <c r="R315" s="38"/>
      <c r="S315" s="38"/>
      <c r="T315" s="38"/>
      <c r="U315" s="38"/>
      <c r="V315" s="38"/>
    </row>
    <row r="316">
      <c r="A316" s="98">
        <v>46141.0</v>
      </c>
      <c r="B316" s="27" t="s">
        <v>35</v>
      </c>
      <c r="C316" s="35" t="s">
        <v>257</v>
      </c>
      <c r="D316" s="92" t="s">
        <v>57</v>
      </c>
      <c r="E316" s="35">
        <v>1.0</v>
      </c>
      <c r="F316" s="35"/>
      <c r="G316" s="35" t="s">
        <v>35</v>
      </c>
      <c r="H316" s="92">
        <v>8591.0</v>
      </c>
      <c r="I316" s="97" t="str">
        <f t="shared" si="1"/>
        <v>8591-GSB-N/A</v>
      </c>
      <c r="J316" s="100" t="s">
        <v>756</v>
      </c>
      <c r="K316" s="35" t="s">
        <v>492</v>
      </c>
      <c r="L316" s="64">
        <v>46161.0</v>
      </c>
      <c r="M316" s="35" t="s">
        <v>139</v>
      </c>
      <c r="N316" s="2">
        <v>3482.0</v>
      </c>
      <c r="O316" s="36" t="s">
        <v>337</v>
      </c>
      <c r="P316" s="63">
        <v>46191.0</v>
      </c>
      <c r="Q316" s="38"/>
      <c r="R316" s="38"/>
      <c r="S316" s="38"/>
      <c r="T316" s="38"/>
      <c r="U316" s="38"/>
      <c r="V316" s="38"/>
    </row>
    <row r="317">
      <c r="A317" s="98">
        <v>46132.0</v>
      </c>
      <c r="B317" s="27" t="s">
        <v>35</v>
      </c>
      <c r="C317" s="35" t="s">
        <v>257</v>
      </c>
      <c r="D317" s="92" t="s">
        <v>57</v>
      </c>
      <c r="E317" s="35">
        <v>1.0</v>
      </c>
      <c r="F317" s="35"/>
      <c r="G317" s="35" t="s">
        <v>35</v>
      </c>
      <c r="H317" s="92">
        <v>8604.0</v>
      </c>
      <c r="I317" s="97" t="str">
        <f t="shared" si="1"/>
        <v>8604-GSB-N/A</v>
      </c>
      <c r="J317" s="100" t="s">
        <v>756</v>
      </c>
      <c r="K317" s="35" t="s">
        <v>55</v>
      </c>
      <c r="L317" s="64">
        <v>46161.0</v>
      </c>
      <c r="M317" s="35" t="s">
        <v>139</v>
      </c>
      <c r="N317" s="61">
        <v>3466.0</v>
      </c>
      <c r="O317" s="61" t="s">
        <v>561</v>
      </c>
      <c r="P317" s="91">
        <v>46168.0</v>
      </c>
      <c r="Q317" s="38"/>
      <c r="R317" s="38"/>
      <c r="S317" s="38"/>
      <c r="T317" s="38"/>
      <c r="U317" s="38"/>
      <c r="V317" s="38"/>
    </row>
    <row r="318">
      <c r="A318" s="75">
        <v>46149.0</v>
      </c>
      <c r="B318" s="27" t="s">
        <v>35</v>
      </c>
      <c r="C318" s="27" t="s">
        <v>257</v>
      </c>
      <c r="D318" s="28" t="s">
        <v>57</v>
      </c>
      <c r="E318" s="27">
        <v>1.0</v>
      </c>
      <c r="F318" s="27"/>
      <c r="G318" s="27" t="s">
        <v>35</v>
      </c>
      <c r="H318" s="28">
        <v>2324.0</v>
      </c>
      <c r="I318" s="70" t="str">
        <f t="shared" si="1"/>
        <v>2324-GSB-N/A</v>
      </c>
      <c r="J318" s="25" t="s">
        <v>756</v>
      </c>
      <c r="K318" s="27" t="s">
        <v>492</v>
      </c>
      <c r="L318" s="64">
        <v>46161.0</v>
      </c>
      <c r="M318" s="35" t="s">
        <v>139</v>
      </c>
      <c r="N318" s="2">
        <v>3482.0</v>
      </c>
      <c r="O318" s="36" t="s">
        <v>337</v>
      </c>
      <c r="P318" s="63">
        <v>46191.0</v>
      </c>
      <c r="Q318" s="38"/>
      <c r="R318" s="38"/>
      <c r="S318" s="38"/>
      <c r="T318" s="38"/>
      <c r="U318" s="38"/>
      <c r="V318" s="38"/>
    </row>
    <row r="319">
      <c r="A319" s="23">
        <v>45897.0</v>
      </c>
      <c r="B319" s="25">
        <v>2.093501849E9</v>
      </c>
      <c r="C319" s="27">
        <v>4.998117557E9</v>
      </c>
      <c r="D319" s="28" t="s">
        <v>5</v>
      </c>
      <c r="E319" s="27">
        <v>1.0</v>
      </c>
      <c r="F319" s="27"/>
      <c r="G319" s="27" t="s">
        <v>762</v>
      </c>
      <c r="H319" s="28">
        <v>5711.0</v>
      </c>
      <c r="I319" s="30" t="str">
        <f t="shared" si="1"/>
        <v>5711-GSB-092256847706150182</v>
      </c>
      <c r="J319" s="25" t="s">
        <v>756</v>
      </c>
      <c r="K319" s="27" t="s">
        <v>492</v>
      </c>
      <c r="L319" s="64">
        <v>46161.0</v>
      </c>
      <c r="M319" s="35" t="s">
        <v>139</v>
      </c>
      <c r="N319" s="61">
        <v>3466.0</v>
      </c>
      <c r="O319" s="61" t="s">
        <v>561</v>
      </c>
      <c r="P319" s="91">
        <v>46168.0</v>
      </c>
      <c r="Q319" s="38"/>
      <c r="R319" s="38"/>
      <c r="S319" s="38"/>
      <c r="T319" s="38"/>
      <c r="U319" s="38"/>
      <c r="V319" s="38"/>
    </row>
    <row r="320">
      <c r="A320" s="23">
        <v>45897.0</v>
      </c>
      <c r="B320" s="27">
        <v>2.093501849E9</v>
      </c>
      <c r="C320" s="27">
        <v>4.998117557E9</v>
      </c>
      <c r="D320" s="28" t="s">
        <v>5</v>
      </c>
      <c r="E320" s="27">
        <v>1.0</v>
      </c>
      <c r="F320" s="31"/>
      <c r="G320" s="31" t="s">
        <v>482</v>
      </c>
      <c r="H320" s="30">
        <v>5879.0</v>
      </c>
      <c r="I320" s="28" t="str">
        <f t="shared" si="1"/>
        <v>5879-GSB-092256847892120393</v>
      </c>
      <c r="J320" s="25" t="s">
        <v>756</v>
      </c>
      <c r="K320" s="27" t="s">
        <v>492</v>
      </c>
      <c r="L320" s="64">
        <v>46161.0</v>
      </c>
      <c r="M320" s="35" t="s">
        <v>139</v>
      </c>
      <c r="N320" s="2">
        <v>3482.0</v>
      </c>
      <c r="O320" s="36" t="s">
        <v>337</v>
      </c>
      <c r="P320" s="63">
        <v>46191.0</v>
      </c>
      <c r="Q320" s="38"/>
      <c r="R320" s="38"/>
      <c r="S320" s="38"/>
      <c r="T320" s="38"/>
      <c r="U320" s="38"/>
      <c r="V320" s="38"/>
    </row>
    <row r="321">
      <c r="A321" s="23">
        <v>45897.0</v>
      </c>
      <c r="B321" s="25">
        <v>2.093501849E9</v>
      </c>
      <c r="C321" s="27">
        <v>4.998117557E9</v>
      </c>
      <c r="D321" s="28" t="s">
        <v>5</v>
      </c>
      <c r="E321" s="27">
        <v>1.0</v>
      </c>
      <c r="F321" s="27"/>
      <c r="G321" s="27" t="s">
        <v>483</v>
      </c>
      <c r="H321" s="28">
        <v>4929.0</v>
      </c>
      <c r="I321" s="30" t="str">
        <f t="shared" si="1"/>
        <v>4929-GSB-092256847517520208</v>
      </c>
      <c r="J321" s="25" t="s">
        <v>756</v>
      </c>
      <c r="K321" s="27" t="s">
        <v>492</v>
      </c>
      <c r="L321" s="64">
        <v>46161.0</v>
      </c>
      <c r="M321" s="35" t="s">
        <v>139</v>
      </c>
      <c r="N321" s="2" t="s">
        <v>120</v>
      </c>
      <c r="O321" s="2" t="s">
        <v>120</v>
      </c>
      <c r="P321" s="2" t="s">
        <v>120</v>
      </c>
      <c r="Q321" s="38"/>
      <c r="R321" s="38"/>
      <c r="S321" s="38"/>
      <c r="T321" s="38"/>
      <c r="U321" s="38"/>
      <c r="V321" s="38"/>
    </row>
    <row r="322">
      <c r="A322" s="75">
        <v>46132.0</v>
      </c>
      <c r="B322" s="27" t="s">
        <v>35</v>
      </c>
      <c r="C322" s="27">
        <v>4.998117557E9</v>
      </c>
      <c r="D322" s="28" t="s">
        <v>5</v>
      </c>
      <c r="E322" s="27">
        <v>1.0</v>
      </c>
      <c r="F322" s="27"/>
      <c r="G322" s="27" t="s">
        <v>198</v>
      </c>
      <c r="H322" s="28">
        <v>10164.0</v>
      </c>
      <c r="I322" s="30" t="str">
        <f t="shared" si="1"/>
        <v>10164-GSB-092256853963290434</v>
      </c>
      <c r="J322" s="25" t="s">
        <v>756</v>
      </c>
      <c r="K322" s="27" t="s">
        <v>492</v>
      </c>
      <c r="L322" s="64">
        <v>46161.0</v>
      </c>
      <c r="M322" s="35" t="s">
        <v>139</v>
      </c>
      <c r="N322" s="2">
        <v>3482.0</v>
      </c>
      <c r="O322" s="36" t="s">
        <v>337</v>
      </c>
      <c r="P322" s="63">
        <v>46191.0</v>
      </c>
      <c r="Q322" s="38"/>
      <c r="R322" s="38"/>
      <c r="S322" s="38"/>
      <c r="T322" s="38"/>
      <c r="U322" s="38"/>
      <c r="V322" s="38"/>
    </row>
    <row r="323">
      <c r="A323" s="75">
        <v>46132.0</v>
      </c>
      <c r="B323" s="27" t="s">
        <v>35</v>
      </c>
      <c r="C323" s="27">
        <v>4.998117557E9</v>
      </c>
      <c r="D323" s="28" t="s">
        <v>5</v>
      </c>
      <c r="E323" s="27">
        <v>1.0</v>
      </c>
      <c r="F323" s="27"/>
      <c r="G323" s="27" t="s">
        <v>200</v>
      </c>
      <c r="H323" s="28">
        <v>10165.0</v>
      </c>
      <c r="I323" s="30" t="str">
        <f t="shared" si="1"/>
        <v>10165-GSB-092256847892120119</v>
      </c>
      <c r="J323" s="25" t="s">
        <v>756</v>
      </c>
      <c r="K323" s="27" t="s">
        <v>492</v>
      </c>
      <c r="L323" s="64">
        <v>46161.0</v>
      </c>
      <c r="M323" s="35" t="s">
        <v>139</v>
      </c>
      <c r="N323" s="2">
        <v>3482.0</v>
      </c>
      <c r="O323" s="36" t="s">
        <v>337</v>
      </c>
      <c r="P323" s="63">
        <v>46191.0</v>
      </c>
      <c r="Q323" s="38"/>
      <c r="R323" s="38"/>
      <c r="S323" s="38"/>
      <c r="T323" s="38"/>
      <c r="U323" s="38"/>
      <c r="V323" s="38"/>
    </row>
    <row r="324">
      <c r="A324" s="75">
        <v>46132.0</v>
      </c>
      <c r="B324" s="27" t="s">
        <v>35</v>
      </c>
      <c r="C324" s="27">
        <v>4.998117557E9</v>
      </c>
      <c r="D324" s="28" t="s">
        <v>5</v>
      </c>
      <c r="E324" s="27">
        <v>1.0</v>
      </c>
      <c r="F324" s="27"/>
      <c r="G324" s="27" t="s">
        <v>416</v>
      </c>
      <c r="H324" s="28">
        <v>8819.0</v>
      </c>
      <c r="I324" s="30" t="str">
        <f t="shared" si="1"/>
        <v>8819-GSB-092256854086180001</v>
      </c>
      <c r="J324" s="25" t="s">
        <v>756</v>
      </c>
      <c r="K324" s="27" t="s">
        <v>492</v>
      </c>
      <c r="L324" s="64">
        <v>46161.0</v>
      </c>
      <c r="M324" s="35" t="s">
        <v>139</v>
      </c>
      <c r="N324" s="2">
        <v>3482.0</v>
      </c>
      <c r="O324" s="36" t="s">
        <v>337</v>
      </c>
      <c r="P324" s="63">
        <v>46191.0</v>
      </c>
      <c r="Q324" s="38"/>
      <c r="R324" s="38"/>
      <c r="S324" s="38"/>
      <c r="T324" s="38"/>
      <c r="U324" s="38"/>
      <c r="V324" s="38"/>
    </row>
    <row r="325">
      <c r="A325" s="75">
        <v>46132.0</v>
      </c>
      <c r="B325" s="100">
        <v>2.093501849E9</v>
      </c>
      <c r="C325" s="35" t="s">
        <v>148</v>
      </c>
      <c r="D325" s="92" t="s">
        <v>4</v>
      </c>
      <c r="E325" s="35">
        <v>1.0</v>
      </c>
      <c r="F325" s="35"/>
      <c r="G325" s="35" t="s">
        <v>35</v>
      </c>
      <c r="H325" s="92">
        <v>6841.0</v>
      </c>
      <c r="I325" s="97" t="str">
        <f t="shared" si="1"/>
        <v>6841-GSB-N/A</v>
      </c>
      <c r="J325" s="25" t="s">
        <v>756</v>
      </c>
      <c r="K325" s="27" t="s">
        <v>492</v>
      </c>
      <c r="L325" s="64">
        <v>46161.0</v>
      </c>
      <c r="M325" s="35" t="s">
        <v>139</v>
      </c>
      <c r="N325" s="2">
        <v>3466.0</v>
      </c>
      <c r="O325" s="36" t="s">
        <v>561</v>
      </c>
      <c r="P325" s="37">
        <v>46168.0</v>
      </c>
      <c r="Q325" s="38"/>
      <c r="R325" s="38"/>
      <c r="S325" s="38"/>
      <c r="T325" s="38"/>
      <c r="U325" s="38"/>
      <c r="V325" s="38"/>
    </row>
    <row r="326">
      <c r="A326" s="75">
        <v>46132.0</v>
      </c>
      <c r="B326" s="35" t="s">
        <v>35</v>
      </c>
      <c r="C326" s="35" t="s">
        <v>148</v>
      </c>
      <c r="D326" s="92" t="s">
        <v>4</v>
      </c>
      <c r="E326" s="35">
        <v>1.0</v>
      </c>
      <c r="F326" s="35"/>
      <c r="G326" s="35" t="s">
        <v>35</v>
      </c>
      <c r="H326" s="92">
        <v>7997.0</v>
      </c>
      <c r="I326" s="97" t="str">
        <f t="shared" si="1"/>
        <v>7997-GSB-N/A</v>
      </c>
      <c r="J326" s="25" t="s">
        <v>756</v>
      </c>
      <c r="K326" s="27" t="s">
        <v>492</v>
      </c>
      <c r="L326" s="64">
        <v>46161.0</v>
      </c>
      <c r="M326" s="35" t="s">
        <v>139</v>
      </c>
      <c r="N326" s="61">
        <v>3466.0</v>
      </c>
      <c r="O326" s="61" t="s">
        <v>561</v>
      </c>
      <c r="P326" s="37">
        <v>46168.0</v>
      </c>
      <c r="Q326" s="38"/>
      <c r="R326" s="38"/>
      <c r="S326" s="38"/>
      <c r="T326" s="38"/>
      <c r="U326" s="38"/>
      <c r="V326" s="38"/>
    </row>
    <row r="327">
      <c r="A327" s="75">
        <v>46141.0</v>
      </c>
      <c r="B327" s="27" t="s">
        <v>35</v>
      </c>
      <c r="C327" s="27" t="s">
        <v>108</v>
      </c>
      <c r="D327" s="28" t="s">
        <v>43</v>
      </c>
      <c r="E327" s="27">
        <v>1.0</v>
      </c>
      <c r="F327" s="27"/>
      <c r="G327" s="27" t="s">
        <v>35</v>
      </c>
      <c r="H327" s="28">
        <v>7511.0</v>
      </c>
      <c r="I327" s="30" t="str">
        <f t="shared" si="1"/>
        <v>7511-GSB-N/A</v>
      </c>
      <c r="J327" s="31" t="s">
        <v>756</v>
      </c>
      <c r="K327" s="27" t="s">
        <v>492</v>
      </c>
      <c r="L327" s="34">
        <v>46161.0</v>
      </c>
      <c r="M327" s="35" t="s">
        <v>139</v>
      </c>
      <c r="N327" s="2">
        <v>3482.0</v>
      </c>
      <c r="O327" s="36" t="s">
        <v>337</v>
      </c>
      <c r="P327" s="63">
        <v>46191.0</v>
      </c>
      <c r="Q327" s="38"/>
      <c r="R327" s="38"/>
      <c r="S327" s="38"/>
      <c r="T327" s="38"/>
      <c r="U327" s="38"/>
      <c r="V327" s="38"/>
    </row>
    <row r="328">
      <c r="A328" s="75">
        <v>46141.0</v>
      </c>
      <c r="B328" s="27" t="s">
        <v>35</v>
      </c>
      <c r="C328" s="27" t="s">
        <v>108</v>
      </c>
      <c r="D328" s="28" t="s">
        <v>43</v>
      </c>
      <c r="E328" s="27">
        <v>1.0</v>
      </c>
      <c r="F328" s="27"/>
      <c r="G328" s="27" t="s">
        <v>35</v>
      </c>
      <c r="H328" s="28">
        <v>7525.0</v>
      </c>
      <c r="I328" s="30" t="str">
        <f t="shared" si="1"/>
        <v>7525-GSB-N/A</v>
      </c>
      <c r="J328" s="31" t="s">
        <v>756</v>
      </c>
      <c r="K328" s="27" t="s">
        <v>492</v>
      </c>
      <c r="L328" s="34">
        <v>46161.0</v>
      </c>
      <c r="M328" s="35" t="s">
        <v>139</v>
      </c>
      <c r="N328" s="61">
        <v>3465.0</v>
      </c>
      <c r="O328" s="61" t="s">
        <v>561</v>
      </c>
      <c r="P328" s="91">
        <v>46168.0</v>
      </c>
      <c r="Q328" s="38"/>
      <c r="R328" s="38"/>
      <c r="S328" s="38"/>
      <c r="T328" s="38"/>
      <c r="U328" s="38"/>
      <c r="V328" s="38"/>
    </row>
    <row r="329">
      <c r="A329" s="75">
        <v>46132.0</v>
      </c>
      <c r="B329" s="27" t="s">
        <v>35</v>
      </c>
      <c r="C329" s="27" t="s">
        <v>108</v>
      </c>
      <c r="D329" s="28" t="s">
        <v>43</v>
      </c>
      <c r="E329" s="27">
        <v>1.0</v>
      </c>
      <c r="F329" s="27"/>
      <c r="G329" s="27" t="s">
        <v>35</v>
      </c>
      <c r="H329" s="28">
        <v>7489.0</v>
      </c>
      <c r="I329" s="30" t="str">
        <f t="shared" si="1"/>
        <v>7489-GSB-N/A</v>
      </c>
      <c r="J329" s="31" t="s">
        <v>756</v>
      </c>
      <c r="K329" s="27" t="s">
        <v>492</v>
      </c>
      <c r="L329" s="34">
        <v>46161.0</v>
      </c>
      <c r="M329" s="35" t="s">
        <v>139</v>
      </c>
      <c r="N329" s="61">
        <v>3465.0</v>
      </c>
      <c r="O329" s="61" t="s">
        <v>561</v>
      </c>
      <c r="P329" s="91">
        <v>46168.0</v>
      </c>
      <c r="Q329" s="38"/>
      <c r="R329" s="38"/>
      <c r="S329" s="38"/>
      <c r="T329" s="38"/>
      <c r="U329" s="38"/>
      <c r="V329" s="38"/>
    </row>
    <row r="330">
      <c r="A330" s="75">
        <v>46132.0</v>
      </c>
      <c r="B330" s="27" t="s">
        <v>35</v>
      </c>
      <c r="C330" s="27" t="s">
        <v>108</v>
      </c>
      <c r="D330" s="28" t="s">
        <v>43</v>
      </c>
      <c r="E330" s="27">
        <v>1.0</v>
      </c>
      <c r="F330" s="27"/>
      <c r="G330" s="27" t="s">
        <v>35</v>
      </c>
      <c r="H330" s="28">
        <v>7424.0</v>
      </c>
      <c r="I330" s="30" t="str">
        <f t="shared" si="1"/>
        <v>7424-GSB-N/A</v>
      </c>
      <c r="J330" s="31" t="s">
        <v>756</v>
      </c>
      <c r="K330" s="27" t="s">
        <v>492</v>
      </c>
      <c r="L330" s="34">
        <v>46161.0</v>
      </c>
      <c r="M330" s="35" t="s">
        <v>139</v>
      </c>
      <c r="N330" s="2">
        <v>3482.0</v>
      </c>
      <c r="O330" s="36" t="s">
        <v>337</v>
      </c>
      <c r="P330" s="63">
        <v>46191.0</v>
      </c>
      <c r="Q330" s="38"/>
      <c r="R330" s="38"/>
      <c r="S330" s="38"/>
      <c r="T330" s="38"/>
      <c r="U330" s="38"/>
      <c r="V330" s="38"/>
    </row>
    <row r="331">
      <c r="A331" s="75">
        <v>46132.0</v>
      </c>
      <c r="B331" s="27" t="s">
        <v>35</v>
      </c>
      <c r="C331" s="27" t="s">
        <v>202</v>
      </c>
      <c r="D331" s="28" t="s">
        <v>50</v>
      </c>
      <c r="E331" s="27">
        <v>1.0</v>
      </c>
      <c r="F331" s="27"/>
      <c r="G331" s="27" t="s">
        <v>427</v>
      </c>
      <c r="H331" s="28">
        <v>3273.0</v>
      </c>
      <c r="I331" s="30" t="str">
        <f t="shared" si="1"/>
        <v>3273-GSB-042163654022100392</v>
      </c>
      <c r="J331" s="25" t="s">
        <v>756</v>
      </c>
      <c r="K331" s="27" t="s">
        <v>492</v>
      </c>
      <c r="L331" s="64">
        <v>46161.0</v>
      </c>
      <c r="M331" s="35" t="s">
        <v>139</v>
      </c>
      <c r="N331" s="2">
        <v>3480.0</v>
      </c>
      <c r="O331" s="36" t="s">
        <v>337</v>
      </c>
      <c r="P331" s="63">
        <v>46183.0</v>
      </c>
      <c r="Q331" s="38"/>
      <c r="R331" s="38"/>
      <c r="S331" s="38"/>
      <c r="T331" s="38"/>
      <c r="U331" s="38"/>
      <c r="V331" s="38"/>
    </row>
    <row r="332">
      <c r="A332" s="75">
        <v>46132.0</v>
      </c>
      <c r="B332" s="27" t="s">
        <v>35</v>
      </c>
      <c r="C332" s="27" t="s">
        <v>202</v>
      </c>
      <c r="D332" s="28" t="s">
        <v>50</v>
      </c>
      <c r="E332" s="27">
        <v>1.0</v>
      </c>
      <c r="F332" s="27"/>
      <c r="G332" s="27" t="s">
        <v>429</v>
      </c>
      <c r="H332" s="28">
        <v>7707.0</v>
      </c>
      <c r="I332" s="30" t="str">
        <f t="shared" si="1"/>
        <v>7707-GSB-042163657330100404</v>
      </c>
      <c r="J332" s="25" t="s">
        <v>756</v>
      </c>
      <c r="K332" s="27" t="s">
        <v>492</v>
      </c>
      <c r="L332" s="64">
        <v>46161.0</v>
      </c>
      <c r="M332" s="35" t="s">
        <v>139</v>
      </c>
      <c r="N332" s="61">
        <v>3465.0</v>
      </c>
      <c r="O332" s="61" t="s">
        <v>561</v>
      </c>
      <c r="P332" s="91">
        <v>46168.0</v>
      </c>
      <c r="Q332" s="38"/>
      <c r="R332" s="38"/>
      <c r="S332" s="38"/>
      <c r="T332" s="38"/>
      <c r="U332" s="38"/>
      <c r="V332" s="38"/>
    </row>
    <row r="333">
      <c r="A333" s="75">
        <v>46132.0</v>
      </c>
      <c r="B333" s="27" t="s">
        <v>35</v>
      </c>
      <c r="C333" s="27" t="s">
        <v>355</v>
      </c>
      <c r="D333" s="28" t="s">
        <v>436</v>
      </c>
      <c r="E333" s="27">
        <v>1.0</v>
      </c>
      <c r="F333" s="27"/>
      <c r="G333" s="27" t="s">
        <v>35</v>
      </c>
      <c r="H333" s="28">
        <v>3679.0</v>
      </c>
      <c r="I333" s="30" t="str">
        <f t="shared" si="1"/>
        <v>3679-GSB-N/A</v>
      </c>
      <c r="J333" s="25" t="s">
        <v>756</v>
      </c>
      <c r="K333" s="27" t="s">
        <v>492</v>
      </c>
      <c r="L333" s="64">
        <v>46161.0</v>
      </c>
      <c r="M333" s="35" t="s">
        <v>139</v>
      </c>
      <c r="N333" s="61">
        <v>3466.0</v>
      </c>
      <c r="O333" s="61" t="s">
        <v>561</v>
      </c>
      <c r="P333" s="91">
        <v>46168.0</v>
      </c>
      <c r="Q333" s="38"/>
      <c r="R333" s="38"/>
      <c r="S333" s="38"/>
      <c r="T333" s="38"/>
      <c r="U333" s="38"/>
      <c r="V333" s="38"/>
    </row>
    <row r="334">
      <c r="A334" s="75">
        <v>46132.0</v>
      </c>
      <c r="B334" s="27" t="s">
        <v>35</v>
      </c>
      <c r="C334" s="27" t="s">
        <v>143</v>
      </c>
      <c r="D334" s="28" t="s">
        <v>439</v>
      </c>
      <c r="E334" s="27">
        <v>1.0</v>
      </c>
      <c r="F334" s="27"/>
      <c r="G334" s="27" t="s">
        <v>35</v>
      </c>
      <c r="H334" s="28">
        <v>2651.0</v>
      </c>
      <c r="I334" s="30" t="str">
        <f t="shared" si="1"/>
        <v>2651-GSB-N/A</v>
      </c>
      <c r="J334" s="25" t="s">
        <v>756</v>
      </c>
      <c r="K334" s="27" t="s">
        <v>492</v>
      </c>
      <c r="L334" s="64">
        <v>46161.0</v>
      </c>
      <c r="M334" s="35" t="s">
        <v>139</v>
      </c>
      <c r="N334" s="2">
        <v>3482.0</v>
      </c>
      <c r="O334" s="36" t="s">
        <v>337</v>
      </c>
      <c r="P334" s="63">
        <v>46191.0</v>
      </c>
      <c r="Q334" s="38"/>
      <c r="R334" s="38"/>
      <c r="S334" s="38"/>
      <c r="T334" s="38"/>
      <c r="U334" s="38"/>
      <c r="V334" s="38"/>
    </row>
    <row r="335">
      <c r="A335" s="27" t="s">
        <v>35</v>
      </c>
      <c r="B335" s="27" t="s">
        <v>35</v>
      </c>
      <c r="C335" s="27">
        <v>7.81410000872E11</v>
      </c>
      <c r="D335" s="28" t="s">
        <v>46</v>
      </c>
      <c r="E335" s="27">
        <v>1.0</v>
      </c>
      <c r="F335" s="27"/>
      <c r="G335" s="27" t="s">
        <v>35</v>
      </c>
      <c r="H335" s="28">
        <v>9065.0</v>
      </c>
      <c r="I335" s="30" t="str">
        <f t="shared" si="1"/>
        <v>9065-GSB-N/A</v>
      </c>
      <c r="J335" s="31" t="s">
        <v>493</v>
      </c>
      <c r="K335" s="27" t="s">
        <v>85</v>
      </c>
      <c r="L335" s="34">
        <v>46164.0</v>
      </c>
      <c r="M335" s="35" t="s">
        <v>139</v>
      </c>
      <c r="N335" s="2"/>
      <c r="O335" s="51"/>
      <c r="P335" s="93"/>
      <c r="Q335" s="38"/>
      <c r="R335" s="38"/>
      <c r="S335" s="38"/>
      <c r="T335" s="38"/>
      <c r="U335" s="38"/>
      <c r="V335" s="38"/>
    </row>
    <row r="336">
      <c r="A336" s="75">
        <v>46142.0</v>
      </c>
      <c r="B336" s="27" t="s">
        <v>35</v>
      </c>
      <c r="C336" s="27" t="s">
        <v>327</v>
      </c>
      <c r="D336" s="28" t="s">
        <v>328</v>
      </c>
      <c r="E336" s="27">
        <v>1.0</v>
      </c>
      <c r="F336" s="27"/>
      <c r="G336" s="27" t="s">
        <v>476</v>
      </c>
      <c r="H336" s="28" t="s">
        <v>763</v>
      </c>
      <c r="I336" s="30" t="str">
        <f t="shared" si="1"/>
        <v>7869/10159-GSB-042239654003100148</v>
      </c>
      <c r="J336" s="31" t="s">
        <v>764</v>
      </c>
      <c r="K336" s="27" t="s">
        <v>85</v>
      </c>
      <c r="L336" s="34">
        <v>46164.0</v>
      </c>
      <c r="M336" s="35" t="s">
        <v>139</v>
      </c>
      <c r="N336" s="2">
        <v>3301.0</v>
      </c>
      <c r="O336" s="36" t="s">
        <v>765</v>
      </c>
      <c r="P336" s="63">
        <v>46218.0</v>
      </c>
      <c r="Q336" s="38"/>
      <c r="R336" s="38"/>
      <c r="S336" s="38"/>
      <c r="T336" s="38"/>
      <c r="U336" s="38"/>
      <c r="V336" s="38"/>
    </row>
    <row r="337">
      <c r="A337" s="75">
        <v>46141.0</v>
      </c>
      <c r="B337" s="27" t="s">
        <v>35</v>
      </c>
      <c r="C337" s="27" t="s">
        <v>35</v>
      </c>
      <c r="D337" s="28" t="s">
        <v>766</v>
      </c>
      <c r="E337" s="27">
        <v>1.0</v>
      </c>
      <c r="F337" s="27"/>
      <c r="G337" s="27" t="s">
        <v>35</v>
      </c>
      <c r="H337" s="28">
        <v>10130.0</v>
      </c>
      <c r="I337" s="30" t="str">
        <f t="shared" si="1"/>
        <v>10130-GSB-N/A</v>
      </c>
      <c r="J337" s="31" t="s">
        <v>767</v>
      </c>
      <c r="K337" s="31" t="s">
        <v>453</v>
      </c>
      <c r="L337" s="34">
        <v>46164.0</v>
      </c>
      <c r="M337" s="35" t="s">
        <v>139</v>
      </c>
      <c r="N337" s="2">
        <v>3175.0</v>
      </c>
      <c r="O337" s="36" t="s">
        <v>768</v>
      </c>
      <c r="P337" s="63">
        <v>46170.0</v>
      </c>
      <c r="Q337" s="38"/>
      <c r="R337" s="38"/>
      <c r="S337" s="38"/>
      <c r="T337" s="38"/>
      <c r="U337" s="38"/>
      <c r="V337" s="38"/>
    </row>
    <row r="338">
      <c r="A338" s="75">
        <v>46142.0</v>
      </c>
      <c r="B338" s="27" t="s">
        <v>35</v>
      </c>
      <c r="C338" s="27" t="s">
        <v>327</v>
      </c>
      <c r="D338" s="28" t="s">
        <v>328</v>
      </c>
      <c r="E338" s="27">
        <v>1.0</v>
      </c>
      <c r="F338" s="27"/>
      <c r="G338" s="27" t="s">
        <v>468</v>
      </c>
      <c r="H338" s="28">
        <v>7770.0</v>
      </c>
      <c r="I338" s="30" t="str">
        <f t="shared" si="1"/>
        <v>7770-GSB-042239657406100349</v>
      </c>
      <c r="J338" s="31" t="s">
        <v>497</v>
      </c>
      <c r="K338" s="27" t="s">
        <v>747</v>
      </c>
      <c r="L338" s="34">
        <v>46164.0</v>
      </c>
      <c r="M338" s="35" t="s">
        <v>139</v>
      </c>
      <c r="N338" s="2">
        <v>1294.0</v>
      </c>
      <c r="O338" s="36" t="s">
        <v>769</v>
      </c>
      <c r="P338" s="63">
        <v>46167.0</v>
      </c>
      <c r="Q338" s="38"/>
      <c r="R338" s="38"/>
      <c r="S338" s="38"/>
      <c r="T338" s="38"/>
      <c r="U338" s="38"/>
      <c r="V338" s="38"/>
    </row>
    <row r="339">
      <c r="A339" s="75">
        <v>46085.0</v>
      </c>
      <c r="B339" s="27" t="s">
        <v>135</v>
      </c>
      <c r="C339" s="27" t="s">
        <v>340</v>
      </c>
      <c r="D339" s="28" t="s">
        <v>31</v>
      </c>
      <c r="E339" s="27">
        <v>1.0</v>
      </c>
      <c r="F339" s="27"/>
      <c r="G339" s="27" t="s">
        <v>35</v>
      </c>
      <c r="H339" s="28">
        <v>10065.0</v>
      </c>
      <c r="I339" s="30" t="str">
        <f t="shared" si="1"/>
        <v>10065-GSB-N/A</v>
      </c>
      <c r="J339" s="31" t="s">
        <v>151</v>
      </c>
      <c r="K339" s="27" t="s">
        <v>747</v>
      </c>
      <c r="L339" s="34">
        <v>46164.0</v>
      </c>
      <c r="M339" s="35" t="s">
        <v>139</v>
      </c>
      <c r="N339" s="2">
        <v>2659.0</v>
      </c>
      <c r="O339" s="36" t="s">
        <v>770</v>
      </c>
      <c r="P339" s="63">
        <v>46197.0</v>
      </c>
      <c r="Q339" s="38"/>
      <c r="R339" s="38"/>
      <c r="S339" s="38"/>
      <c r="T339" s="38"/>
      <c r="U339" s="38"/>
      <c r="V339" s="38"/>
    </row>
    <row r="340">
      <c r="A340" s="75">
        <v>46085.0</v>
      </c>
      <c r="B340" s="27" t="s">
        <v>135</v>
      </c>
      <c r="C340" s="27">
        <v>6.76544009023E11</v>
      </c>
      <c r="D340" s="28" t="s">
        <v>47</v>
      </c>
      <c r="E340" s="27">
        <v>1.0</v>
      </c>
      <c r="F340" s="27"/>
      <c r="G340" s="27" t="s">
        <v>35</v>
      </c>
      <c r="H340" s="28">
        <v>10103.0</v>
      </c>
      <c r="I340" s="30" t="str">
        <f t="shared" si="1"/>
        <v>10103-GSB-N/A</v>
      </c>
      <c r="J340" s="31" t="s">
        <v>151</v>
      </c>
      <c r="K340" s="27" t="s">
        <v>747</v>
      </c>
      <c r="L340" s="34">
        <v>46164.0</v>
      </c>
      <c r="M340" s="35" t="s">
        <v>139</v>
      </c>
      <c r="N340" s="2"/>
      <c r="O340" s="51"/>
      <c r="P340" s="93"/>
      <c r="Q340" s="38"/>
      <c r="R340" s="38"/>
      <c r="S340" s="38"/>
      <c r="T340" s="38"/>
      <c r="U340" s="38"/>
      <c r="V340" s="38"/>
    </row>
    <row r="341">
      <c r="A341" s="23">
        <v>46078.0</v>
      </c>
      <c r="B341" s="27" t="s">
        <v>375</v>
      </c>
      <c r="C341" s="27">
        <v>8.86618177071E11</v>
      </c>
      <c r="D341" s="28" t="s">
        <v>67</v>
      </c>
      <c r="E341" s="27">
        <v>1.0</v>
      </c>
      <c r="F341" s="27"/>
      <c r="G341" s="27" t="s">
        <v>35</v>
      </c>
      <c r="H341" s="28">
        <v>10031.0</v>
      </c>
      <c r="I341" s="30" t="str">
        <f t="shared" si="1"/>
        <v>10031-GSB-N/A</v>
      </c>
      <c r="J341" s="27" t="s">
        <v>151</v>
      </c>
      <c r="K341" s="27" t="s">
        <v>747</v>
      </c>
      <c r="L341" s="34">
        <v>46164.0</v>
      </c>
      <c r="M341" s="35" t="s">
        <v>139</v>
      </c>
      <c r="N341" s="2"/>
      <c r="O341" s="51"/>
      <c r="P341" s="93"/>
      <c r="Q341" s="38"/>
      <c r="R341" s="38"/>
      <c r="S341" s="38"/>
      <c r="T341" s="38"/>
      <c r="U341" s="38"/>
      <c r="V341" s="38"/>
    </row>
    <row r="342">
      <c r="A342" s="75">
        <v>46142.0</v>
      </c>
      <c r="B342" s="27">
        <v>2664.0</v>
      </c>
      <c r="C342" s="27">
        <v>7.709990800005E12</v>
      </c>
      <c r="D342" s="28" t="s">
        <v>566</v>
      </c>
      <c r="E342" s="27">
        <v>1.0</v>
      </c>
      <c r="F342" s="27"/>
      <c r="G342" s="27" t="s">
        <v>634</v>
      </c>
      <c r="H342" s="28" t="s">
        <v>35</v>
      </c>
      <c r="I342" s="30" t="str">
        <f t="shared" si="1"/>
        <v>N/A-GSB-BLISTEL X 5</v>
      </c>
      <c r="J342" s="27" t="s">
        <v>151</v>
      </c>
      <c r="K342" s="27" t="s">
        <v>747</v>
      </c>
      <c r="L342" s="34">
        <v>46164.0</v>
      </c>
      <c r="M342" s="35" t="s">
        <v>139</v>
      </c>
      <c r="N342" s="2">
        <v>2652.0</v>
      </c>
      <c r="O342" s="36" t="s">
        <v>771</v>
      </c>
      <c r="P342" s="63">
        <v>46175.0</v>
      </c>
      <c r="Q342" s="38"/>
      <c r="R342" s="38"/>
      <c r="S342" s="38"/>
      <c r="T342" s="38"/>
      <c r="U342" s="38"/>
      <c r="V342" s="38"/>
    </row>
    <row r="343">
      <c r="A343" s="75">
        <v>46164.0</v>
      </c>
      <c r="B343" s="27">
        <v>1332601.0</v>
      </c>
      <c r="C343" s="27" t="s">
        <v>682</v>
      </c>
      <c r="D343" s="28" t="s">
        <v>33</v>
      </c>
      <c r="E343" s="25">
        <v>1.0</v>
      </c>
      <c r="F343" s="27"/>
      <c r="G343" s="27" t="s">
        <v>35</v>
      </c>
      <c r="H343" s="28" t="s">
        <v>35</v>
      </c>
      <c r="I343" s="70" t="str">
        <f t="shared" si="1"/>
        <v>N/A-GSB-N/A</v>
      </c>
      <c r="J343" s="31" t="s">
        <v>493</v>
      </c>
      <c r="K343" s="27" t="s">
        <v>85</v>
      </c>
      <c r="L343" s="34">
        <v>46164.0</v>
      </c>
      <c r="M343" s="35" t="s">
        <v>139</v>
      </c>
      <c r="N343" s="2">
        <v>3133.0</v>
      </c>
      <c r="O343" s="36" t="s">
        <v>658</v>
      </c>
      <c r="P343" s="37">
        <v>46168.0</v>
      </c>
      <c r="Q343" s="38"/>
      <c r="R343" s="38"/>
      <c r="S343" s="38"/>
      <c r="T343" s="38"/>
      <c r="U343" s="38"/>
      <c r="V343" s="38"/>
    </row>
    <row r="344">
      <c r="A344" s="75">
        <v>46164.0</v>
      </c>
      <c r="B344" s="27">
        <v>1332601.0</v>
      </c>
      <c r="C344" s="27" t="s">
        <v>682</v>
      </c>
      <c r="D344" s="28" t="s">
        <v>33</v>
      </c>
      <c r="E344" s="25">
        <v>1.0</v>
      </c>
      <c r="F344" s="27"/>
      <c r="G344" s="27" t="s">
        <v>35</v>
      </c>
      <c r="H344" s="28" t="s">
        <v>35</v>
      </c>
      <c r="I344" s="70" t="str">
        <f t="shared" si="1"/>
        <v>N/A-GSB-N/A</v>
      </c>
      <c r="J344" s="31" t="s">
        <v>772</v>
      </c>
      <c r="K344" s="27" t="s">
        <v>85</v>
      </c>
      <c r="L344" s="34">
        <v>46164.0</v>
      </c>
      <c r="M344" s="35" t="s">
        <v>139</v>
      </c>
      <c r="N344" s="2">
        <v>3146.0</v>
      </c>
      <c r="O344" s="36" t="s">
        <v>773</v>
      </c>
      <c r="P344" s="63">
        <v>46192.0</v>
      </c>
      <c r="Q344" s="38"/>
      <c r="R344" s="38"/>
      <c r="S344" s="38"/>
      <c r="T344" s="38"/>
      <c r="U344" s="38"/>
      <c r="V344" s="38"/>
    </row>
    <row r="345">
      <c r="A345" s="75">
        <v>46164.0</v>
      </c>
      <c r="B345" s="27">
        <v>1332601.0</v>
      </c>
      <c r="C345" s="27" t="s">
        <v>682</v>
      </c>
      <c r="D345" s="28" t="s">
        <v>33</v>
      </c>
      <c r="E345" s="25">
        <v>1.0</v>
      </c>
      <c r="F345" s="27"/>
      <c r="G345" s="27" t="s">
        <v>35</v>
      </c>
      <c r="H345" s="28" t="s">
        <v>35</v>
      </c>
      <c r="I345" s="70" t="str">
        <f t="shared" si="1"/>
        <v>N/A-GSB-N/A</v>
      </c>
      <c r="J345" s="31" t="s">
        <v>772</v>
      </c>
      <c r="K345" s="27" t="s">
        <v>85</v>
      </c>
      <c r="L345" s="34">
        <v>46164.0</v>
      </c>
      <c r="M345" s="35" t="s">
        <v>139</v>
      </c>
      <c r="N345" s="2">
        <v>3146.0</v>
      </c>
      <c r="O345" s="36" t="s">
        <v>773</v>
      </c>
      <c r="P345" s="63">
        <v>46192.0</v>
      </c>
      <c r="Q345" s="38"/>
      <c r="R345" s="38"/>
      <c r="S345" s="38"/>
      <c r="T345" s="38"/>
      <c r="U345" s="38"/>
      <c r="V345" s="38"/>
    </row>
    <row r="346">
      <c r="A346" s="75">
        <v>46164.0</v>
      </c>
      <c r="B346" s="27">
        <v>1332601.0</v>
      </c>
      <c r="C346" s="27" t="s">
        <v>682</v>
      </c>
      <c r="D346" s="28" t="s">
        <v>33</v>
      </c>
      <c r="E346" s="25">
        <v>1.0</v>
      </c>
      <c r="F346" s="27"/>
      <c r="G346" s="27" t="s">
        <v>35</v>
      </c>
      <c r="H346" s="28" t="s">
        <v>35</v>
      </c>
      <c r="I346" s="70" t="str">
        <f t="shared" si="1"/>
        <v>N/A-GSB-N/A</v>
      </c>
      <c r="J346" s="25" t="s">
        <v>774</v>
      </c>
      <c r="K346" s="27" t="s">
        <v>55</v>
      </c>
      <c r="L346" s="34">
        <v>46164.0</v>
      </c>
      <c r="M346" s="35" t="s">
        <v>139</v>
      </c>
      <c r="N346" s="61">
        <v>3465.0</v>
      </c>
      <c r="O346" s="61" t="s">
        <v>561</v>
      </c>
      <c r="P346" s="91">
        <v>46168.0</v>
      </c>
      <c r="Q346" s="38"/>
      <c r="R346" s="38"/>
      <c r="S346" s="38"/>
      <c r="T346" s="38"/>
      <c r="U346" s="38"/>
      <c r="V346" s="38"/>
    </row>
    <row r="347">
      <c r="A347" s="75">
        <v>46164.0</v>
      </c>
      <c r="B347" s="27">
        <v>1332601.0</v>
      </c>
      <c r="C347" s="27" t="s">
        <v>682</v>
      </c>
      <c r="D347" s="28" t="s">
        <v>33</v>
      </c>
      <c r="E347" s="25">
        <v>1.0</v>
      </c>
      <c r="F347" s="27"/>
      <c r="G347" s="27" t="s">
        <v>35</v>
      </c>
      <c r="H347" s="28" t="s">
        <v>35</v>
      </c>
      <c r="I347" s="70" t="str">
        <f t="shared" si="1"/>
        <v>N/A-GSB-N/A</v>
      </c>
      <c r="J347" s="25" t="s">
        <v>774</v>
      </c>
      <c r="K347" s="27" t="s">
        <v>55</v>
      </c>
      <c r="L347" s="34">
        <v>46164.0</v>
      </c>
      <c r="M347" s="35" t="s">
        <v>139</v>
      </c>
      <c r="N347" s="61">
        <v>3465.0</v>
      </c>
      <c r="O347" s="61" t="s">
        <v>561</v>
      </c>
      <c r="P347" s="91">
        <v>46168.0</v>
      </c>
      <c r="Q347" s="38"/>
      <c r="R347" s="38"/>
      <c r="S347" s="38"/>
      <c r="T347" s="38"/>
      <c r="U347" s="38"/>
      <c r="V347" s="38"/>
    </row>
    <row r="348">
      <c r="A348" s="75">
        <v>46164.0</v>
      </c>
      <c r="B348" s="27">
        <v>1332601.0</v>
      </c>
      <c r="C348" s="27" t="s">
        <v>682</v>
      </c>
      <c r="D348" s="28" t="s">
        <v>33</v>
      </c>
      <c r="E348" s="25">
        <v>1.0</v>
      </c>
      <c r="F348" s="27"/>
      <c r="G348" s="27" t="s">
        <v>35</v>
      </c>
      <c r="H348" s="28" t="s">
        <v>35</v>
      </c>
      <c r="I348" s="70" t="str">
        <f t="shared" si="1"/>
        <v>N/A-GSB-N/A</v>
      </c>
      <c r="J348" s="25" t="s">
        <v>774</v>
      </c>
      <c r="K348" s="27" t="s">
        <v>55</v>
      </c>
      <c r="L348" s="34">
        <v>46164.0</v>
      </c>
      <c r="M348" s="35" t="s">
        <v>139</v>
      </c>
      <c r="N348" s="61">
        <v>3465.0</v>
      </c>
      <c r="O348" s="61" t="s">
        <v>561</v>
      </c>
      <c r="P348" s="91">
        <v>46168.0</v>
      </c>
      <c r="Q348" s="38"/>
      <c r="R348" s="38"/>
      <c r="S348" s="38"/>
      <c r="T348" s="38"/>
      <c r="U348" s="38"/>
      <c r="V348" s="38"/>
    </row>
    <row r="349">
      <c r="A349" s="75">
        <v>46164.0</v>
      </c>
      <c r="B349" s="27">
        <v>1332601.0</v>
      </c>
      <c r="C349" s="27" t="s">
        <v>682</v>
      </c>
      <c r="D349" s="28" t="s">
        <v>33</v>
      </c>
      <c r="E349" s="25">
        <v>1.0</v>
      </c>
      <c r="F349" s="27"/>
      <c r="G349" s="27" t="s">
        <v>35</v>
      </c>
      <c r="H349" s="28" t="s">
        <v>35</v>
      </c>
      <c r="I349" s="70" t="str">
        <f t="shared" si="1"/>
        <v>N/A-GSB-N/A</v>
      </c>
      <c r="J349" s="25" t="s">
        <v>774</v>
      </c>
      <c r="K349" s="27" t="s">
        <v>55</v>
      </c>
      <c r="L349" s="34">
        <v>46164.0</v>
      </c>
      <c r="M349" s="35" t="s">
        <v>139</v>
      </c>
      <c r="N349" s="61">
        <v>3465.0</v>
      </c>
      <c r="O349" s="61" t="s">
        <v>561</v>
      </c>
      <c r="P349" s="91">
        <v>46168.0</v>
      </c>
      <c r="Q349" s="38"/>
      <c r="R349" s="38"/>
      <c r="S349" s="38"/>
      <c r="T349" s="38"/>
      <c r="U349" s="38"/>
      <c r="V349" s="38"/>
    </row>
    <row r="350">
      <c r="A350" s="23">
        <v>45897.0</v>
      </c>
      <c r="B350" s="27">
        <v>2.093501849E9</v>
      </c>
      <c r="C350" s="27" t="s">
        <v>148</v>
      </c>
      <c r="D350" s="92" t="s">
        <v>4</v>
      </c>
      <c r="E350" s="35">
        <v>1.0</v>
      </c>
      <c r="F350" s="48"/>
      <c r="G350" s="48" t="s">
        <v>35</v>
      </c>
      <c r="H350" s="97">
        <v>6821.0</v>
      </c>
      <c r="I350" s="92" t="str">
        <f t="shared" si="1"/>
        <v>6821-GSB-N/A</v>
      </c>
      <c r="J350" s="48" t="s">
        <v>750</v>
      </c>
      <c r="K350" s="27" t="s">
        <v>152</v>
      </c>
      <c r="L350" s="34">
        <v>46167.0</v>
      </c>
      <c r="M350" s="35" t="s">
        <v>104</v>
      </c>
      <c r="N350" s="62">
        <v>31283.0</v>
      </c>
      <c r="O350" s="62" t="s">
        <v>529</v>
      </c>
      <c r="P350" s="58">
        <v>46206.0</v>
      </c>
      <c r="Q350" s="38"/>
      <c r="R350" s="38"/>
      <c r="S350" s="38"/>
      <c r="T350" s="38"/>
      <c r="U350" s="38"/>
      <c r="V350" s="38"/>
    </row>
    <row r="351">
      <c r="A351" s="75">
        <v>46132.0</v>
      </c>
      <c r="B351" s="25">
        <v>2.093501849E9</v>
      </c>
      <c r="C351" s="27" t="s">
        <v>148</v>
      </c>
      <c r="D351" s="92" t="s">
        <v>4</v>
      </c>
      <c r="E351" s="35">
        <v>1.0</v>
      </c>
      <c r="F351" s="35"/>
      <c r="G351" s="35" t="s">
        <v>35</v>
      </c>
      <c r="H351" s="92">
        <v>10167.0</v>
      </c>
      <c r="I351" s="97" t="str">
        <f t="shared" si="1"/>
        <v>10167-GSB-N/A</v>
      </c>
      <c r="J351" s="48" t="s">
        <v>750</v>
      </c>
      <c r="K351" s="27" t="s">
        <v>152</v>
      </c>
      <c r="L351" s="34">
        <v>46167.0</v>
      </c>
      <c r="M351" s="35" t="s">
        <v>104</v>
      </c>
      <c r="N351" s="62">
        <v>31283.0</v>
      </c>
      <c r="O351" s="62" t="s">
        <v>529</v>
      </c>
      <c r="P351" s="58">
        <v>46206.0</v>
      </c>
      <c r="Q351" s="38"/>
      <c r="R351" s="38"/>
      <c r="S351" s="38"/>
      <c r="T351" s="38"/>
      <c r="U351" s="38"/>
      <c r="V351" s="38"/>
    </row>
    <row r="352">
      <c r="A352" s="75">
        <v>46132.0</v>
      </c>
      <c r="B352" s="27" t="s">
        <v>35</v>
      </c>
      <c r="C352" s="27" t="s">
        <v>148</v>
      </c>
      <c r="D352" s="92" t="s">
        <v>4</v>
      </c>
      <c r="E352" s="35">
        <v>1.0</v>
      </c>
      <c r="F352" s="35"/>
      <c r="G352" s="35" t="s">
        <v>35</v>
      </c>
      <c r="H352" s="92">
        <v>3874.0</v>
      </c>
      <c r="I352" s="97" t="str">
        <f t="shared" si="1"/>
        <v>3874-GSB-N/A</v>
      </c>
      <c r="J352" s="48" t="s">
        <v>750</v>
      </c>
      <c r="K352" s="27" t="s">
        <v>152</v>
      </c>
      <c r="L352" s="34">
        <v>46167.0</v>
      </c>
      <c r="M352" s="35" t="s">
        <v>104</v>
      </c>
      <c r="N352" s="62">
        <v>31283.0</v>
      </c>
      <c r="O352" s="62" t="s">
        <v>529</v>
      </c>
      <c r="P352" s="58">
        <v>46206.0</v>
      </c>
      <c r="Q352" s="38"/>
      <c r="R352" s="38"/>
      <c r="S352" s="38"/>
      <c r="T352" s="38"/>
      <c r="U352" s="38"/>
      <c r="V352" s="38"/>
    </row>
    <row r="353">
      <c r="A353" s="75">
        <v>46132.0</v>
      </c>
      <c r="B353" s="27" t="s">
        <v>35</v>
      </c>
      <c r="C353" s="27" t="s">
        <v>148</v>
      </c>
      <c r="D353" s="28" t="s">
        <v>4</v>
      </c>
      <c r="E353" s="27">
        <v>1.0</v>
      </c>
      <c r="F353" s="27"/>
      <c r="G353" s="27" t="s">
        <v>35</v>
      </c>
      <c r="H353" s="28">
        <v>3875.0</v>
      </c>
      <c r="I353" s="30" t="str">
        <f t="shared" si="1"/>
        <v>3875-GSB-N/A</v>
      </c>
      <c r="J353" s="31" t="s">
        <v>750</v>
      </c>
      <c r="K353" s="27" t="s">
        <v>152</v>
      </c>
      <c r="L353" s="34">
        <v>46167.0</v>
      </c>
      <c r="M353" s="35" t="s">
        <v>104</v>
      </c>
      <c r="N353" s="62">
        <v>31283.0</v>
      </c>
      <c r="O353" s="62" t="s">
        <v>529</v>
      </c>
      <c r="P353" s="58">
        <v>46206.0</v>
      </c>
      <c r="Q353" s="38"/>
      <c r="R353" s="38"/>
      <c r="S353" s="38"/>
      <c r="T353" s="38"/>
      <c r="U353" s="38"/>
      <c r="V353" s="38"/>
    </row>
    <row r="354">
      <c r="A354" s="75">
        <v>46085.0</v>
      </c>
      <c r="B354" s="27" t="s">
        <v>135</v>
      </c>
      <c r="C354" s="27" t="s">
        <v>340</v>
      </c>
      <c r="D354" s="28" t="s">
        <v>31</v>
      </c>
      <c r="E354" s="27">
        <v>1.0</v>
      </c>
      <c r="F354" s="27"/>
      <c r="G354" s="27" t="s">
        <v>35</v>
      </c>
      <c r="H354" s="28">
        <v>10066.0</v>
      </c>
      <c r="I354" s="30" t="str">
        <f t="shared" si="1"/>
        <v>10066-GSB-N/A</v>
      </c>
      <c r="J354" s="31" t="s">
        <v>775</v>
      </c>
      <c r="K354" s="27" t="s">
        <v>747</v>
      </c>
      <c r="L354" s="34">
        <v>46170.0</v>
      </c>
      <c r="M354" s="35" t="s">
        <v>139</v>
      </c>
      <c r="N354" s="2">
        <v>2671.0</v>
      </c>
      <c r="O354" s="36" t="s">
        <v>776</v>
      </c>
      <c r="P354" s="63">
        <v>46240.0</v>
      </c>
      <c r="Q354" s="38"/>
      <c r="R354" s="38"/>
      <c r="S354" s="38"/>
      <c r="T354" s="38"/>
      <c r="U354" s="38"/>
      <c r="V354" s="38"/>
    </row>
    <row r="355">
      <c r="A355" s="75">
        <v>46085.0</v>
      </c>
      <c r="B355" s="27" t="s">
        <v>135</v>
      </c>
      <c r="C355" s="27" t="s">
        <v>340</v>
      </c>
      <c r="D355" s="28" t="s">
        <v>31</v>
      </c>
      <c r="E355" s="27">
        <v>1.0</v>
      </c>
      <c r="F355" s="27"/>
      <c r="G355" s="27" t="s">
        <v>35</v>
      </c>
      <c r="H355" s="28">
        <v>10067.0</v>
      </c>
      <c r="I355" s="30" t="str">
        <f t="shared" si="1"/>
        <v>10067-GSB-N/A</v>
      </c>
      <c r="J355" s="31" t="s">
        <v>775</v>
      </c>
      <c r="K355" s="27" t="s">
        <v>747</v>
      </c>
      <c r="L355" s="34">
        <v>46170.0</v>
      </c>
      <c r="M355" s="35" t="s">
        <v>139</v>
      </c>
      <c r="N355" s="2">
        <v>2659.0</v>
      </c>
      <c r="O355" s="36" t="s">
        <v>770</v>
      </c>
      <c r="P355" s="63">
        <v>46197.0</v>
      </c>
      <c r="Q355" s="38"/>
      <c r="R355" s="38"/>
      <c r="S355" s="38"/>
      <c r="T355" s="38"/>
      <c r="U355" s="38"/>
      <c r="V355" s="38"/>
    </row>
    <row r="356">
      <c r="A356" s="23">
        <v>46078.0</v>
      </c>
      <c r="B356" s="27" t="s">
        <v>375</v>
      </c>
      <c r="C356" s="27">
        <v>6.76544009023E11</v>
      </c>
      <c r="D356" s="28" t="s">
        <v>47</v>
      </c>
      <c r="E356" s="27">
        <v>1.0</v>
      </c>
      <c r="F356" s="27"/>
      <c r="G356" s="27" t="s">
        <v>35</v>
      </c>
      <c r="H356" s="28">
        <v>10038.0</v>
      </c>
      <c r="I356" s="30" t="str">
        <f t="shared" si="1"/>
        <v>10038-GSB-N/A</v>
      </c>
      <c r="J356" s="31" t="s">
        <v>775</v>
      </c>
      <c r="K356" s="27" t="s">
        <v>747</v>
      </c>
      <c r="L356" s="34">
        <v>46170.0</v>
      </c>
      <c r="M356" s="35" t="s">
        <v>139</v>
      </c>
      <c r="N356" s="2"/>
      <c r="O356" s="36"/>
      <c r="P356" s="93"/>
      <c r="Q356" s="38"/>
      <c r="R356" s="38"/>
      <c r="S356" s="38"/>
      <c r="T356" s="38"/>
      <c r="U356" s="38"/>
      <c r="V356" s="38"/>
    </row>
    <row r="357">
      <c r="A357" s="23">
        <v>46078.0</v>
      </c>
      <c r="B357" s="27" t="s">
        <v>375</v>
      </c>
      <c r="C357" s="27">
        <v>6.76544009023E11</v>
      </c>
      <c r="D357" s="28" t="s">
        <v>47</v>
      </c>
      <c r="E357" s="27">
        <v>1.0</v>
      </c>
      <c r="F357" s="27"/>
      <c r="G357" s="27" t="s">
        <v>35</v>
      </c>
      <c r="H357" s="28">
        <v>10039.0</v>
      </c>
      <c r="I357" s="30" t="str">
        <f t="shared" si="1"/>
        <v>10039-GSB-N/A</v>
      </c>
      <c r="J357" s="31" t="s">
        <v>775</v>
      </c>
      <c r="K357" s="27" t="s">
        <v>747</v>
      </c>
      <c r="L357" s="34">
        <v>46170.0</v>
      </c>
      <c r="M357" s="35" t="s">
        <v>139</v>
      </c>
      <c r="N357" s="2">
        <v>2671.0</v>
      </c>
      <c r="O357" s="36" t="s">
        <v>776</v>
      </c>
      <c r="P357" s="63">
        <v>46240.0</v>
      </c>
      <c r="Q357" s="38"/>
      <c r="R357" s="38"/>
      <c r="S357" s="38"/>
      <c r="T357" s="38"/>
      <c r="U357" s="38"/>
      <c r="V357" s="38"/>
    </row>
    <row r="358">
      <c r="A358" s="75">
        <v>46141.0</v>
      </c>
      <c r="B358" s="27" t="s">
        <v>35</v>
      </c>
      <c r="C358" s="27" t="s">
        <v>202</v>
      </c>
      <c r="D358" s="28" t="s">
        <v>50</v>
      </c>
      <c r="E358" s="27">
        <v>1.0</v>
      </c>
      <c r="F358" s="27" t="s">
        <v>777</v>
      </c>
      <c r="G358" s="27" t="s">
        <v>778</v>
      </c>
      <c r="H358" s="28">
        <v>1402.0</v>
      </c>
      <c r="I358" s="30" t="str">
        <f t="shared" si="1"/>
        <v>1402-GSB-042163643922100308</v>
      </c>
      <c r="J358" s="31" t="s">
        <v>775</v>
      </c>
      <c r="K358" s="27" t="s">
        <v>747</v>
      </c>
      <c r="L358" s="34">
        <v>46170.0</v>
      </c>
      <c r="M358" s="35" t="s">
        <v>139</v>
      </c>
      <c r="N358" s="2">
        <v>2670.0</v>
      </c>
      <c r="O358" s="36" t="s">
        <v>779</v>
      </c>
      <c r="P358" s="63">
        <v>46239.0</v>
      </c>
      <c r="Q358" s="38"/>
      <c r="R358" s="38"/>
      <c r="S358" s="38"/>
      <c r="T358" s="38"/>
      <c r="U358" s="38"/>
      <c r="V358" s="38"/>
    </row>
    <row r="359">
      <c r="A359" s="75">
        <v>46141.0</v>
      </c>
      <c r="B359" s="27" t="s">
        <v>35</v>
      </c>
      <c r="C359" s="27" t="s">
        <v>202</v>
      </c>
      <c r="D359" s="28" t="s">
        <v>50</v>
      </c>
      <c r="E359" s="27">
        <v>1.0</v>
      </c>
      <c r="F359" s="27"/>
      <c r="G359" s="27" t="s">
        <v>780</v>
      </c>
      <c r="H359" s="28">
        <v>1375.0</v>
      </c>
      <c r="I359" s="30" t="str">
        <f t="shared" si="1"/>
        <v>1375-GSB-042163647801100596</v>
      </c>
      <c r="J359" s="31" t="s">
        <v>775</v>
      </c>
      <c r="K359" s="27" t="s">
        <v>747</v>
      </c>
      <c r="L359" s="34">
        <v>46170.0</v>
      </c>
      <c r="M359" s="35" t="s">
        <v>139</v>
      </c>
      <c r="N359" s="2">
        <v>2686.0</v>
      </c>
      <c r="O359" s="36" t="s">
        <v>781</v>
      </c>
      <c r="P359" s="63">
        <v>46272.0</v>
      </c>
      <c r="Q359" s="38"/>
      <c r="R359" s="38"/>
      <c r="S359" s="38"/>
      <c r="T359" s="38"/>
      <c r="U359" s="38"/>
      <c r="V359" s="38"/>
    </row>
    <row r="360">
      <c r="A360" s="75">
        <v>46132.0</v>
      </c>
      <c r="B360" s="27" t="s">
        <v>35</v>
      </c>
      <c r="C360" s="27" t="s">
        <v>202</v>
      </c>
      <c r="D360" s="28" t="s">
        <v>50</v>
      </c>
      <c r="E360" s="27">
        <v>1.0</v>
      </c>
      <c r="F360" s="27"/>
      <c r="G360" s="27" t="s">
        <v>421</v>
      </c>
      <c r="H360" s="28">
        <v>7589.0</v>
      </c>
      <c r="I360" s="30" t="str">
        <f t="shared" si="1"/>
        <v>7589-GSB-042163657330100484</v>
      </c>
      <c r="J360" s="31" t="s">
        <v>775</v>
      </c>
      <c r="K360" s="27" t="s">
        <v>747</v>
      </c>
      <c r="L360" s="34">
        <v>46170.0</v>
      </c>
      <c r="M360" s="35" t="s">
        <v>139</v>
      </c>
      <c r="N360" s="2">
        <v>2652.0</v>
      </c>
      <c r="O360" s="36" t="s">
        <v>771</v>
      </c>
      <c r="P360" s="63">
        <v>46175.0</v>
      </c>
      <c r="Q360" s="38"/>
      <c r="R360" s="38"/>
      <c r="S360" s="38"/>
      <c r="T360" s="38"/>
      <c r="U360" s="38"/>
      <c r="V360" s="38"/>
    </row>
    <row r="361">
      <c r="A361" s="75">
        <v>46085.0</v>
      </c>
      <c r="B361" s="27" t="s">
        <v>345</v>
      </c>
      <c r="C361" s="27">
        <v>8.86618177071E11</v>
      </c>
      <c r="D361" s="28" t="s">
        <v>67</v>
      </c>
      <c r="E361" s="27">
        <v>1.0</v>
      </c>
      <c r="F361" s="27"/>
      <c r="G361" s="27" t="s">
        <v>35</v>
      </c>
      <c r="H361" s="28">
        <v>10081.0</v>
      </c>
      <c r="I361" s="30" t="str">
        <f t="shared" si="1"/>
        <v>10081-GSB-N/A</v>
      </c>
      <c r="J361" s="31" t="s">
        <v>775</v>
      </c>
      <c r="K361" s="27" t="s">
        <v>747</v>
      </c>
      <c r="L361" s="34">
        <v>46170.0</v>
      </c>
      <c r="M361" s="35" t="s">
        <v>139</v>
      </c>
      <c r="N361" s="2">
        <v>2659.0</v>
      </c>
      <c r="O361" s="36" t="s">
        <v>770</v>
      </c>
      <c r="P361" s="63">
        <v>46197.0</v>
      </c>
      <c r="Q361" s="38"/>
      <c r="R361" s="38"/>
      <c r="S361" s="38"/>
      <c r="T361" s="38"/>
      <c r="U361" s="38"/>
      <c r="V361" s="38"/>
    </row>
    <row r="362">
      <c r="A362" s="23">
        <v>46078.0</v>
      </c>
      <c r="B362" s="27" t="s">
        <v>375</v>
      </c>
      <c r="C362" s="27">
        <v>8.86618177071E11</v>
      </c>
      <c r="D362" s="28" t="s">
        <v>67</v>
      </c>
      <c r="E362" s="27">
        <v>1.0</v>
      </c>
      <c r="F362" s="27"/>
      <c r="G362" s="27" t="s">
        <v>35</v>
      </c>
      <c r="H362" s="28">
        <v>10034.0</v>
      </c>
      <c r="I362" s="30" t="str">
        <f t="shared" si="1"/>
        <v>10034-GSB-N/A</v>
      </c>
      <c r="J362" s="31" t="s">
        <v>775</v>
      </c>
      <c r="K362" s="27" t="s">
        <v>747</v>
      </c>
      <c r="L362" s="34">
        <v>46170.0</v>
      </c>
      <c r="M362" s="35" t="s">
        <v>139</v>
      </c>
      <c r="N362" s="2">
        <v>2671.0</v>
      </c>
      <c r="O362" s="36" t="s">
        <v>776</v>
      </c>
      <c r="P362" s="63">
        <v>46240.0</v>
      </c>
      <c r="Q362" s="38"/>
      <c r="R362" s="38"/>
      <c r="S362" s="38"/>
      <c r="T362" s="38"/>
      <c r="U362" s="38"/>
      <c r="V362" s="38"/>
    </row>
    <row r="363">
      <c r="A363" s="75">
        <v>46085.0</v>
      </c>
      <c r="B363" s="27" t="s">
        <v>135</v>
      </c>
      <c r="C363" s="27" t="s">
        <v>340</v>
      </c>
      <c r="D363" s="28" t="s">
        <v>31</v>
      </c>
      <c r="E363" s="27">
        <v>1.0</v>
      </c>
      <c r="F363" s="27"/>
      <c r="G363" s="27" t="s">
        <v>35</v>
      </c>
      <c r="H363" s="28">
        <v>10068.0</v>
      </c>
      <c r="I363" s="30" t="str">
        <f t="shared" si="1"/>
        <v>10068-GSB-N/A</v>
      </c>
      <c r="J363" s="25" t="s">
        <v>774</v>
      </c>
      <c r="K363" s="25" t="s">
        <v>55</v>
      </c>
      <c r="L363" s="64">
        <v>46175.0</v>
      </c>
      <c r="M363" s="35" t="s">
        <v>139</v>
      </c>
      <c r="N363" s="2">
        <v>3480.0</v>
      </c>
      <c r="O363" s="36" t="s">
        <v>337</v>
      </c>
      <c r="P363" s="63">
        <v>46183.0</v>
      </c>
      <c r="Q363" s="38"/>
      <c r="R363" s="38"/>
      <c r="S363" s="38"/>
      <c r="T363" s="38"/>
      <c r="U363" s="38"/>
      <c r="V363" s="38"/>
    </row>
    <row r="364">
      <c r="A364" s="23">
        <v>46141.0</v>
      </c>
      <c r="B364" s="27" t="s">
        <v>35</v>
      </c>
      <c r="C364" s="27" t="s">
        <v>35</v>
      </c>
      <c r="D364" s="70" t="s">
        <v>41</v>
      </c>
      <c r="E364" s="25">
        <v>1.0</v>
      </c>
      <c r="F364" s="103"/>
      <c r="G364" s="25" t="s">
        <v>35</v>
      </c>
      <c r="H364" s="70" t="s">
        <v>35</v>
      </c>
      <c r="I364" s="70" t="str">
        <f t="shared" si="1"/>
        <v>N/A-GSB-N/A</v>
      </c>
      <c r="J364" s="25" t="s">
        <v>774</v>
      </c>
      <c r="K364" s="25" t="s">
        <v>55</v>
      </c>
      <c r="L364" s="104">
        <v>46142.0</v>
      </c>
      <c r="M364" s="25" t="s">
        <v>139</v>
      </c>
      <c r="N364" s="2">
        <v>3485.0</v>
      </c>
      <c r="O364" s="36" t="s">
        <v>337</v>
      </c>
      <c r="P364" s="63">
        <v>46191.0</v>
      </c>
      <c r="Q364" s="38"/>
      <c r="R364" s="38"/>
      <c r="S364" s="38"/>
      <c r="T364" s="38"/>
      <c r="U364" s="38"/>
      <c r="V364" s="38"/>
    </row>
    <row r="365">
      <c r="A365" s="23">
        <v>46078.0</v>
      </c>
      <c r="B365" s="27" t="s">
        <v>375</v>
      </c>
      <c r="C365" s="27">
        <v>6.76544009023E11</v>
      </c>
      <c r="D365" s="28" t="s">
        <v>47</v>
      </c>
      <c r="E365" s="27">
        <v>1.0</v>
      </c>
      <c r="F365" s="27"/>
      <c r="G365" s="27" t="s">
        <v>35</v>
      </c>
      <c r="H365" s="28">
        <v>10036.0</v>
      </c>
      <c r="I365" s="30" t="str">
        <f t="shared" si="1"/>
        <v>10036-GSB-N/A</v>
      </c>
      <c r="J365" s="25" t="s">
        <v>774</v>
      </c>
      <c r="K365" s="25" t="s">
        <v>55</v>
      </c>
      <c r="L365" s="64">
        <v>46175.0</v>
      </c>
      <c r="M365" s="35" t="s">
        <v>139</v>
      </c>
      <c r="N365" s="2">
        <v>3480.0</v>
      </c>
      <c r="O365" s="36" t="s">
        <v>337</v>
      </c>
      <c r="P365" s="63">
        <v>46183.0</v>
      </c>
      <c r="Q365" s="38"/>
      <c r="R365" s="38"/>
      <c r="S365" s="38"/>
      <c r="T365" s="38"/>
      <c r="U365" s="38"/>
      <c r="V365" s="38"/>
    </row>
    <row r="366">
      <c r="A366" s="75">
        <v>46085.0</v>
      </c>
      <c r="B366" s="27" t="s">
        <v>135</v>
      </c>
      <c r="C366" s="27">
        <v>6.76544009023E11</v>
      </c>
      <c r="D366" s="28" t="s">
        <v>47</v>
      </c>
      <c r="E366" s="27">
        <v>1.0</v>
      </c>
      <c r="F366" s="27"/>
      <c r="G366" s="27" t="s">
        <v>35</v>
      </c>
      <c r="H366" s="28">
        <v>10102.0</v>
      </c>
      <c r="I366" s="30" t="str">
        <f t="shared" si="1"/>
        <v>10102-GSB-N/A</v>
      </c>
      <c r="J366" s="25" t="s">
        <v>774</v>
      </c>
      <c r="K366" s="25" t="s">
        <v>55</v>
      </c>
      <c r="L366" s="64">
        <v>46175.0</v>
      </c>
      <c r="M366" s="35" t="s">
        <v>139</v>
      </c>
      <c r="N366" s="2">
        <v>3480.0</v>
      </c>
      <c r="O366" s="36" t="s">
        <v>337</v>
      </c>
      <c r="P366" s="63">
        <v>46183.0</v>
      </c>
      <c r="Q366" s="38"/>
      <c r="R366" s="38"/>
      <c r="S366" s="38"/>
      <c r="T366" s="38"/>
      <c r="U366" s="38"/>
      <c r="V366" s="38"/>
    </row>
    <row r="367">
      <c r="A367" s="75">
        <v>46174.0</v>
      </c>
      <c r="B367" s="27">
        <v>10855.0</v>
      </c>
      <c r="C367" s="27" t="s">
        <v>35</v>
      </c>
      <c r="D367" s="28" t="s">
        <v>782</v>
      </c>
      <c r="E367" s="27">
        <v>1.0</v>
      </c>
      <c r="F367" s="27"/>
      <c r="G367" s="27" t="s">
        <v>35</v>
      </c>
      <c r="H367" s="28" t="s">
        <v>35</v>
      </c>
      <c r="I367" s="30" t="str">
        <f t="shared" si="1"/>
        <v>N/A-GSB-N/A</v>
      </c>
      <c r="J367" s="25" t="s">
        <v>774</v>
      </c>
      <c r="K367" s="25" t="s">
        <v>55</v>
      </c>
      <c r="L367" s="64">
        <v>46175.0</v>
      </c>
      <c r="M367" s="35" t="s">
        <v>139</v>
      </c>
      <c r="N367" s="2">
        <v>3480.0</v>
      </c>
      <c r="O367" s="36" t="s">
        <v>337</v>
      </c>
      <c r="P367" s="63">
        <v>46183.0</v>
      </c>
      <c r="Q367" s="38"/>
      <c r="R367" s="38"/>
      <c r="S367" s="38"/>
      <c r="T367" s="38"/>
      <c r="U367" s="38"/>
      <c r="V367" s="38"/>
    </row>
    <row r="368">
      <c r="A368" s="75">
        <v>46132.0</v>
      </c>
      <c r="B368" s="27" t="s">
        <v>35</v>
      </c>
      <c r="C368" s="27" t="s">
        <v>202</v>
      </c>
      <c r="D368" s="28" t="s">
        <v>50</v>
      </c>
      <c r="E368" s="27">
        <v>1.0</v>
      </c>
      <c r="F368" s="27"/>
      <c r="G368" s="27" t="s">
        <v>424</v>
      </c>
      <c r="H368" s="28">
        <v>3354.0</v>
      </c>
      <c r="I368" s="30" t="str">
        <f t="shared" si="1"/>
        <v>3354-GSB-042163654016100378</v>
      </c>
      <c r="J368" s="25" t="s">
        <v>774</v>
      </c>
      <c r="K368" s="25" t="s">
        <v>55</v>
      </c>
      <c r="L368" s="64">
        <v>46175.0</v>
      </c>
      <c r="M368" s="35" t="s">
        <v>139</v>
      </c>
      <c r="N368" s="2">
        <v>3480.0</v>
      </c>
      <c r="O368" s="36" t="s">
        <v>337</v>
      </c>
      <c r="P368" s="63">
        <v>46183.0</v>
      </c>
      <c r="Q368" s="38"/>
      <c r="R368" s="38"/>
      <c r="S368" s="38"/>
      <c r="T368" s="38"/>
      <c r="U368" s="38"/>
      <c r="V368" s="38"/>
    </row>
    <row r="369">
      <c r="A369" s="75">
        <v>46149.0</v>
      </c>
      <c r="B369" s="25">
        <v>2.093501849E9</v>
      </c>
      <c r="C369" s="100" t="s">
        <v>71</v>
      </c>
      <c r="D369" s="105" t="s">
        <v>50</v>
      </c>
      <c r="E369" s="100">
        <v>1.0</v>
      </c>
      <c r="F369" s="35"/>
      <c r="G369" s="35">
        <v>4.21636478011006E16</v>
      </c>
      <c r="H369" s="92">
        <v>2472.0</v>
      </c>
      <c r="I369" s="105" t="str">
        <f t="shared" si="1"/>
        <v>2472-GSB-42163647801100600</v>
      </c>
      <c r="J369" s="100" t="s">
        <v>774</v>
      </c>
      <c r="K369" s="100" t="s">
        <v>55</v>
      </c>
      <c r="L369" s="64">
        <v>46175.0</v>
      </c>
      <c r="M369" s="35" t="s">
        <v>139</v>
      </c>
      <c r="N369" s="106"/>
      <c r="O369" s="107"/>
      <c r="P369" s="108"/>
      <c r="Q369" s="38"/>
      <c r="R369" s="38"/>
      <c r="S369" s="38"/>
      <c r="T369" s="38"/>
      <c r="U369" s="38"/>
      <c r="V369" s="38"/>
    </row>
    <row r="370">
      <c r="A370" s="75">
        <v>46142.0</v>
      </c>
      <c r="B370" s="27"/>
      <c r="C370" s="27" t="s">
        <v>342</v>
      </c>
      <c r="D370" s="28" t="s">
        <v>51</v>
      </c>
      <c r="E370" s="27">
        <v>1.0</v>
      </c>
      <c r="F370" s="27"/>
      <c r="G370" s="27" t="s">
        <v>477</v>
      </c>
      <c r="H370" s="28">
        <v>10160.0</v>
      </c>
      <c r="I370" s="30" t="str">
        <f t="shared" si="1"/>
        <v>10160-GSB-042239847329100112</v>
      </c>
      <c r="J370" s="25" t="s">
        <v>774</v>
      </c>
      <c r="K370" s="25" t="s">
        <v>55</v>
      </c>
      <c r="L370" s="64">
        <v>46175.0</v>
      </c>
      <c r="M370" s="35" t="s">
        <v>139</v>
      </c>
      <c r="N370" s="2">
        <v>3480.0</v>
      </c>
      <c r="O370" s="36" t="s">
        <v>337</v>
      </c>
      <c r="P370" s="63">
        <v>46183.0</v>
      </c>
      <c r="Q370" s="38"/>
      <c r="R370" s="38"/>
      <c r="S370" s="38"/>
      <c r="T370" s="38"/>
      <c r="U370" s="38"/>
      <c r="V370" s="38"/>
    </row>
    <row r="371">
      <c r="A371" s="75">
        <v>46149.0</v>
      </c>
      <c r="B371" s="25">
        <v>2.093501849E9</v>
      </c>
      <c r="C371" s="25" t="s">
        <v>327</v>
      </c>
      <c r="D371" s="70" t="s">
        <v>328</v>
      </c>
      <c r="E371" s="25">
        <v>1.0</v>
      </c>
      <c r="F371" s="27"/>
      <c r="G371" s="27">
        <v>4.22396478151002E16</v>
      </c>
      <c r="H371" s="28">
        <v>10174.0</v>
      </c>
      <c r="I371" s="70" t="str">
        <f t="shared" si="1"/>
        <v>10174-GSB-42239647815100200</v>
      </c>
      <c r="J371" s="25" t="s">
        <v>774</v>
      </c>
      <c r="K371" s="25" t="s">
        <v>55</v>
      </c>
      <c r="L371" s="64">
        <v>46175.0</v>
      </c>
      <c r="M371" s="35" t="s">
        <v>139</v>
      </c>
      <c r="N371" s="2">
        <v>3480.0</v>
      </c>
      <c r="O371" s="36" t="s">
        <v>337</v>
      </c>
      <c r="P371" s="63">
        <v>46183.0</v>
      </c>
      <c r="Q371" s="38"/>
      <c r="R371" s="38"/>
      <c r="S371" s="38"/>
      <c r="T371" s="38"/>
      <c r="U371" s="38"/>
      <c r="V371" s="38"/>
    </row>
    <row r="372">
      <c r="A372" s="23">
        <v>45897.0</v>
      </c>
      <c r="B372" s="25">
        <v>2.093501849E9</v>
      </c>
      <c r="C372" s="27" t="s">
        <v>352</v>
      </c>
      <c r="D372" s="28" t="s">
        <v>59</v>
      </c>
      <c r="E372" s="27">
        <v>1.0</v>
      </c>
      <c r="F372" s="27"/>
      <c r="G372" s="27" t="s">
        <v>783</v>
      </c>
      <c r="H372" s="28">
        <v>2301.0</v>
      </c>
      <c r="I372" s="30" t="str">
        <f t="shared" si="1"/>
        <v>2301-GSB-042186047619100125</v>
      </c>
      <c r="J372" s="25" t="s">
        <v>774</v>
      </c>
      <c r="K372" s="25" t="s">
        <v>55</v>
      </c>
      <c r="L372" s="64">
        <v>46175.0</v>
      </c>
      <c r="M372" s="35" t="s">
        <v>139</v>
      </c>
      <c r="N372" s="2">
        <v>3480.0</v>
      </c>
      <c r="O372" s="36" t="s">
        <v>337</v>
      </c>
      <c r="P372" s="63">
        <v>46183.0</v>
      </c>
      <c r="Q372" s="38"/>
      <c r="R372" s="38"/>
      <c r="S372" s="38"/>
      <c r="T372" s="38"/>
      <c r="U372" s="38"/>
      <c r="V372" s="38"/>
    </row>
    <row r="373">
      <c r="A373" s="75">
        <v>46141.0</v>
      </c>
      <c r="B373" s="27" t="s">
        <v>35</v>
      </c>
      <c r="C373" s="25">
        <v>4.998155081E9</v>
      </c>
      <c r="D373" s="70" t="s">
        <v>264</v>
      </c>
      <c r="E373" s="27">
        <v>1.0</v>
      </c>
      <c r="F373" s="27"/>
      <c r="G373" s="27" t="s">
        <v>266</v>
      </c>
      <c r="H373" s="28">
        <v>3154.0</v>
      </c>
      <c r="I373" s="30" t="str">
        <f t="shared" si="1"/>
        <v>3154-GSB-092051354088750059</v>
      </c>
      <c r="J373" s="25" t="s">
        <v>774</v>
      </c>
      <c r="K373" s="25" t="s">
        <v>55</v>
      </c>
      <c r="L373" s="64">
        <v>46175.0</v>
      </c>
      <c r="M373" s="35" t="s">
        <v>139</v>
      </c>
      <c r="N373" s="2">
        <v>3480.0</v>
      </c>
      <c r="O373" s="36" t="s">
        <v>337</v>
      </c>
      <c r="P373" s="63">
        <v>46183.0</v>
      </c>
      <c r="Q373" s="38"/>
      <c r="R373" s="38"/>
      <c r="S373" s="38"/>
      <c r="T373" s="38"/>
      <c r="U373" s="38"/>
      <c r="V373" s="38"/>
    </row>
    <row r="374">
      <c r="A374" s="75">
        <v>46164.0</v>
      </c>
      <c r="B374" s="27">
        <v>1332601.0</v>
      </c>
      <c r="C374" s="27" t="s">
        <v>682</v>
      </c>
      <c r="D374" s="28" t="s">
        <v>64</v>
      </c>
      <c r="E374" s="25">
        <v>1.0</v>
      </c>
      <c r="F374" s="27"/>
      <c r="G374" s="27" t="s">
        <v>35</v>
      </c>
      <c r="H374" s="28">
        <v>10189.0</v>
      </c>
      <c r="I374" s="70" t="str">
        <f t="shared" si="1"/>
        <v>10189-GSB-N/A</v>
      </c>
      <c r="J374" s="25" t="s">
        <v>774</v>
      </c>
      <c r="K374" s="25" t="s">
        <v>55</v>
      </c>
      <c r="L374" s="64">
        <v>46175.0</v>
      </c>
      <c r="M374" s="35" t="s">
        <v>139</v>
      </c>
      <c r="N374" s="2">
        <v>3480.0</v>
      </c>
      <c r="O374" s="36" t="s">
        <v>337</v>
      </c>
      <c r="P374" s="63">
        <v>46183.0</v>
      </c>
      <c r="Q374" s="38"/>
      <c r="R374" s="38"/>
      <c r="S374" s="38"/>
      <c r="T374" s="38"/>
      <c r="U374" s="38"/>
      <c r="V374" s="38"/>
    </row>
    <row r="375">
      <c r="A375" s="75">
        <v>46085.0</v>
      </c>
      <c r="B375" s="27" t="s">
        <v>345</v>
      </c>
      <c r="C375" s="27">
        <v>8.86618177071E11</v>
      </c>
      <c r="D375" s="28" t="s">
        <v>67</v>
      </c>
      <c r="E375" s="27">
        <v>1.0</v>
      </c>
      <c r="F375" s="27"/>
      <c r="G375" s="27" t="s">
        <v>35</v>
      </c>
      <c r="H375" s="28">
        <v>10075.0</v>
      </c>
      <c r="I375" s="30" t="str">
        <f t="shared" si="1"/>
        <v>10075-GSB-N/A</v>
      </c>
      <c r="J375" s="25" t="s">
        <v>774</v>
      </c>
      <c r="K375" s="25" t="s">
        <v>55</v>
      </c>
      <c r="L375" s="64">
        <v>46175.0</v>
      </c>
      <c r="M375" s="35" t="s">
        <v>139</v>
      </c>
      <c r="N375" s="2">
        <v>3480.0</v>
      </c>
      <c r="O375" s="36" t="s">
        <v>337</v>
      </c>
      <c r="P375" s="63">
        <v>46183.0</v>
      </c>
      <c r="Q375" s="38"/>
      <c r="R375" s="38"/>
      <c r="S375" s="38"/>
      <c r="T375" s="38"/>
      <c r="U375" s="38"/>
      <c r="V375" s="38"/>
    </row>
    <row r="376">
      <c r="A376" s="75">
        <v>46085.0</v>
      </c>
      <c r="B376" s="27" t="s">
        <v>345</v>
      </c>
      <c r="C376" s="27">
        <v>8.86618177071E11</v>
      </c>
      <c r="D376" s="28" t="s">
        <v>67</v>
      </c>
      <c r="E376" s="27">
        <v>1.0</v>
      </c>
      <c r="F376" s="27"/>
      <c r="G376" s="27" t="s">
        <v>35</v>
      </c>
      <c r="H376" s="28">
        <v>10076.0</v>
      </c>
      <c r="I376" s="30" t="str">
        <f t="shared" si="1"/>
        <v>10076-GSB-N/A</v>
      </c>
      <c r="J376" s="25" t="s">
        <v>774</v>
      </c>
      <c r="K376" s="25" t="s">
        <v>55</v>
      </c>
      <c r="L376" s="64">
        <v>46175.0</v>
      </c>
      <c r="M376" s="35" t="s">
        <v>139</v>
      </c>
      <c r="N376" s="2">
        <v>3480.0</v>
      </c>
      <c r="O376" s="36" t="s">
        <v>337</v>
      </c>
      <c r="P376" s="63">
        <v>46183.0</v>
      </c>
      <c r="Q376" s="38"/>
      <c r="R376" s="38"/>
      <c r="S376" s="38"/>
      <c r="T376" s="38"/>
      <c r="U376" s="38"/>
      <c r="V376" s="38"/>
    </row>
    <row r="377">
      <c r="A377" s="75">
        <v>46085.0</v>
      </c>
      <c r="B377" s="27" t="s">
        <v>345</v>
      </c>
      <c r="C377" s="27">
        <v>8.86618177071E11</v>
      </c>
      <c r="D377" s="28" t="s">
        <v>67</v>
      </c>
      <c r="E377" s="27">
        <v>1.0</v>
      </c>
      <c r="F377" s="27"/>
      <c r="G377" s="27" t="s">
        <v>35</v>
      </c>
      <c r="H377" s="28">
        <v>10077.0</v>
      </c>
      <c r="I377" s="30" t="str">
        <f t="shared" si="1"/>
        <v>10077-GSB-N/A</v>
      </c>
      <c r="J377" s="25" t="s">
        <v>774</v>
      </c>
      <c r="K377" s="25" t="s">
        <v>55</v>
      </c>
      <c r="L377" s="64">
        <v>46175.0</v>
      </c>
      <c r="M377" s="35" t="s">
        <v>139</v>
      </c>
      <c r="N377" s="2">
        <v>3480.0</v>
      </c>
      <c r="O377" s="36" t="s">
        <v>337</v>
      </c>
      <c r="P377" s="63">
        <v>46183.0</v>
      </c>
      <c r="Q377" s="38"/>
      <c r="R377" s="38"/>
      <c r="S377" s="38"/>
      <c r="T377" s="38"/>
      <c r="U377" s="38"/>
      <c r="V377" s="38"/>
    </row>
    <row r="378">
      <c r="A378" s="75">
        <v>46174.0</v>
      </c>
      <c r="B378" s="27" t="s">
        <v>784</v>
      </c>
      <c r="C378" s="27" t="s">
        <v>362</v>
      </c>
      <c r="D378" s="28" t="s">
        <v>54</v>
      </c>
      <c r="E378" s="27">
        <v>1.0</v>
      </c>
      <c r="F378" s="27"/>
      <c r="G378" s="27" t="s">
        <v>785</v>
      </c>
      <c r="H378" s="28">
        <v>2482.0</v>
      </c>
      <c r="I378" s="30" t="str">
        <f t="shared" si="1"/>
        <v>2482-GSB-042275247404100055</v>
      </c>
      <c r="J378" s="25" t="s">
        <v>774</v>
      </c>
      <c r="K378" s="27" t="s">
        <v>55</v>
      </c>
      <c r="L378" s="34">
        <v>46175.0</v>
      </c>
      <c r="M378" s="35" t="s">
        <v>139</v>
      </c>
      <c r="N378" s="2">
        <v>3480.0</v>
      </c>
      <c r="O378" s="36" t="s">
        <v>337</v>
      </c>
      <c r="P378" s="63">
        <v>46183.0</v>
      </c>
      <c r="Q378" s="38"/>
      <c r="R378" s="38"/>
      <c r="S378" s="38"/>
      <c r="T378" s="38"/>
      <c r="U378" s="38"/>
      <c r="V378" s="38"/>
    </row>
    <row r="379">
      <c r="A379" s="23">
        <v>45897.0</v>
      </c>
      <c r="B379" s="25">
        <v>2.093501849E9</v>
      </c>
      <c r="C379" s="27" t="s">
        <v>148</v>
      </c>
      <c r="D379" s="28" t="s">
        <v>4</v>
      </c>
      <c r="E379" s="27">
        <v>1.0</v>
      </c>
      <c r="F379" s="27"/>
      <c r="G379" s="27" t="s">
        <v>35</v>
      </c>
      <c r="H379" s="28">
        <v>6831.0</v>
      </c>
      <c r="I379" s="30" t="str">
        <f t="shared" si="1"/>
        <v>6831-GSB-N/A</v>
      </c>
      <c r="J379" s="31" t="s">
        <v>786</v>
      </c>
      <c r="K379" s="27" t="s">
        <v>85</v>
      </c>
      <c r="L379" s="34">
        <v>46176.0</v>
      </c>
      <c r="M379" s="35" t="s">
        <v>139</v>
      </c>
      <c r="N379" s="2">
        <v>3138.0</v>
      </c>
      <c r="O379" s="36" t="s">
        <v>787</v>
      </c>
      <c r="P379" s="63">
        <v>46179.0</v>
      </c>
      <c r="Q379" s="38"/>
      <c r="R379" s="38"/>
      <c r="S379" s="38"/>
      <c r="T379" s="38"/>
      <c r="U379" s="38"/>
      <c r="V379" s="38"/>
    </row>
    <row r="380">
      <c r="A380" s="23">
        <v>45897.0</v>
      </c>
      <c r="B380" s="25">
        <v>2.093501849E9</v>
      </c>
      <c r="C380" s="27" t="s">
        <v>148</v>
      </c>
      <c r="D380" s="28" t="s">
        <v>4</v>
      </c>
      <c r="E380" s="27">
        <v>1.0</v>
      </c>
      <c r="F380" s="27"/>
      <c r="G380" s="27" t="s">
        <v>35</v>
      </c>
      <c r="H380" s="28">
        <v>6814.0</v>
      </c>
      <c r="I380" s="30" t="str">
        <f t="shared" si="1"/>
        <v>6814-GSB-N/A</v>
      </c>
      <c r="J380" s="31" t="s">
        <v>786</v>
      </c>
      <c r="K380" s="27" t="s">
        <v>85</v>
      </c>
      <c r="L380" s="34">
        <v>46176.0</v>
      </c>
      <c r="M380" s="35" t="s">
        <v>139</v>
      </c>
      <c r="N380" s="2">
        <v>3138.0</v>
      </c>
      <c r="O380" s="36" t="s">
        <v>787</v>
      </c>
      <c r="P380" s="63">
        <v>46179.0</v>
      </c>
      <c r="Q380" s="38"/>
      <c r="R380" s="38"/>
      <c r="S380" s="38"/>
      <c r="T380" s="38"/>
      <c r="U380" s="38"/>
      <c r="V380" s="38"/>
    </row>
    <row r="381">
      <c r="A381" s="75">
        <v>46132.0</v>
      </c>
      <c r="B381" s="27" t="s">
        <v>35</v>
      </c>
      <c r="C381" s="27" t="s">
        <v>143</v>
      </c>
      <c r="D381" s="70" t="s">
        <v>439</v>
      </c>
      <c r="E381" s="27">
        <v>1.0</v>
      </c>
      <c r="F381" s="27"/>
      <c r="G381" s="27" t="s">
        <v>35</v>
      </c>
      <c r="H381" s="28">
        <v>8323.0</v>
      </c>
      <c r="I381" s="30" t="str">
        <f t="shared" si="1"/>
        <v>8323-GSB-N/A</v>
      </c>
      <c r="J381" s="31" t="s">
        <v>786</v>
      </c>
      <c r="K381" s="27" t="s">
        <v>85</v>
      </c>
      <c r="L381" s="34">
        <v>46176.0</v>
      </c>
      <c r="M381" s="35" t="s">
        <v>139</v>
      </c>
      <c r="N381" s="2">
        <v>3138.0</v>
      </c>
      <c r="O381" s="36" t="s">
        <v>787</v>
      </c>
      <c r="P381" s="63">
        <v>46179.0</v>
      </c>
      <c r="Q381" s="38"/>
      <c r="R381" s="38"/>
      <c r="S381" s="38"/>
      <c r="T381" s="38"/>
      <c r="U381" s="38"/>
      <c r="V381" s="38"/>
    </row>
    <row r="382">
      <c r="A382" s="75">
        <v>46174.0</v>
      </c>
      <c r="B382" s="27" t="s">
        <v>788</v>
      </c>
      <c r="C382" s="27">
        <v>4.998117557E9</v>
      </c>
      <c r="D382" s="28" t="s">
        <v>5</v>
      </c>
      <c r="E382" s="27">
        <v>1.0</v>
      </c>
      <c r="F382" s="27"/>
      <c r="G382" s="27" t="s">
        <v>789</v>
      </c>
      <c r="H382" s="28">
        <v>5131.0</v>
      </c>
      <c r="I382" s="30" t="str">
        <f t="shared" si="1"/>
        <v>5131-GSB-092256843997580495</v>
      </c>
      <c r="J382" s="31" t="s">
        <v>790</v>
      </c>
      <c r="K382" s="27" t="s">
        <v>55</v>
      </c>
      <c r="L382" s="34">
        <v>46177.0</v>
      </c>
      <c r="M382" s="35" t="s">
        <v>139</v>
      </c>
      <c r="N382" s="2">
        <v>3482.0</v>
      </c>
      <c r="O382" s="36" t="s">
        <v>337</v>
      </c>
      <c r="P382" s="63">
        <v>46191.0</v>
      </c>
      <c r="Q382" s="38"/>
      <c r="R382" s="38"/>
      <c r="S382" s="38"/>
      <c r="T382" s="38"/>
      <c r="U382" s="38"/>
      <c r="V382" s="38"/>
    </row>
    <row r="383">
      <c r="A383" s="75">
        <v>46174.0</v>
      </c>
      <c r="B383" s="27" t="s">
        <v>791</v>
      </c>
      <c r="C383" s="27">
        <v>4.998117557E9</v>
      </c>
      <c r="D383" s="28" t="s">
        <v>5</v>
      </c>
      <c r="E383" s="27">
        <v>1.0</v>
      </c>
      <c r="F383" s="27"/>
      <c r="G383" s="27" t="s">
        <v>792</v>
      </c>
      <c r="H383" s="28">
        <v>5111.0</v>
      </c>
      <c r="I383" s="30" t="str">
        <f t="shared" si="1"/>
        <v>5111-GSB-092256843997580475</v>
      </c>
      <c r="J383" s="31" t="s">
        <v>790</v>
      </c>
      <c r="K383" s="27" t="s">
        <v>55</v>
      </c>
      <c r="L383" s="34">
        <v>46177.0</v>
      </c>
      <c r="M383" s="35" t="s">
        <v>139</v>
      </c>
      <c r="N383" s="2">
        <v>3482.0</v>
      </c>
      <c r="O383" s="36" t="s">
        <v>337</v>
      </c>
      <c r="P383" s="63">
        <v>46191.0</v>
      </c>
      <c r="Q383" s="38"/>
      <c r="R383" s="38"/>
      <c r="S383" s="38"/>
      <c r="T383" s="38"/>
      <c r="U383" s="38"/>
      <c r="V383" s="38"/>
    </row>
    <row r="384">
      <c r="A384" s="75">
        <v>46174.0</v>
      </c>
      <c r="B384" s="27" t="s">
        <v>793</v>
      </c>
      <c r="C384" s="27">
        <v>4.998117557E9</v>
      </c>
      <c r="D384" s="28" t="s">
        <v>5</v>
      </c>
      <c r="E384" s="27">
        <v>1.0</v>
      </c>
      <c r="F384" s="27"/>
      <c r="G384" s="27" t="s">
        <v>794</v>
      </c>
      <c r="H384" s="28">
        <v>4881.0</v>
      </c>
      <c r="I384" s="30" t="str">
        <f t="shared" si="1"/>
        <v>4881-GSB-092256847517520250</v>
      </c>
      <c r="J384" s="31" t="s">
        <v>790</v>
      </c>
      <c r="K384" s="27" t="s">
        <v>55</v>
      </c>
      <c r="L384" s="34">
        <v>46177.0</v>
      </c>
      <c r="M384" s="35" t="s">
        <v>139</v>
      </c>
      <c r="N384" s="2">
        <v>3482.0</v>
      </c>
      <c r="O384" s="36" t="s">
        <v>337</v>
      </c>
      <c r="P384" s="63">
        <v>46191.0</v>
      </c>
      <c r="Q384" s="38"/>
      <c r="R384" s="38"/>
      <c r="S384" s="38"/>
      <c r="T384" s="38"/>
      <c r="U384" s="38"/>
      <c r="V384" s="38"/>
    </row>
    <row r="385">
      <c r="A385" s="75">
        <v>46174.0</v>
      </c>
      <c r="B385" s="27" t="s">
        <v>795</v>
      </c>
      <c r="C385" s="27">
        <v>4.998117557E9</v>
      </c>
      <c r="D385" s="28" t="s">
        <v>5</v>
      </c>
      <c r="E385" s="27">
        <v>1.0</v>
      </c>
      <c r="F385" s="27"/>
      <c r="G385" s="27">
        <v>9.22568439975807E16</v>
      </c>
      <c r="H385" s="28">
        <v>4914.0</v>
      </c>
      <c r="I385" s="30" t="str">
        <f t="shared" si="1"/>
        <v>4914-GSB-92256843997580700</v>
      </c>
      <c r="J385" s="31" t="s">
        <v>790</v>
      </c>
      <c r="K385" s="27" t="s">
        <v>55</v>
      </c>
      <c r="L385" s="34">
        <v>46177.0</v>
      </c>
      <c r="M385" s="35" t="s">
        <v>139</v>
      </c>
      <c r="N385" s="2">
        <v>3482.0</v>
      </c>
      <c r="O385" s="36" t="s">
        <v>337</v>
      </c>
      <c r="P385" s="63">
        <v>46191.0</v>
      </c>
      <c r="Q385" s="38"/>
      <c r="R385" s="38"/>
      <c r="S385" s="38"/>
      <c r="T385" s="38"/>
      <c r="U385" s="38"/>
      <c r="V385" s="38"/>
    </row>
    <row r="386">
      <c r="A386" s="75">
        <v>46132.0</v>
      </c>
      <c r="B386" s="27" t="s">
        <v>35</v>
      </c>
      <c r="C386" s="27">
        <v>4.998117557E9</v>
      </c>
      <c r="D386" s="28" t="s">
        <v>5</v>
      </c>
      <c r="E386" s="27">
        <v>1.0</v>
      </c>
      <c r="F386" s="27"/>
      <c r="G386" s="27" t="s">
        <v>417</v>
      </c>
      <c r="H386" s="28">
        <v>8818.0</v>
      </c>
      <c r="I386" s="30" t="str">
        <f t="shared" si="1"/>
        <v>8818-GSB-092256853757440798</v>
      </c>
      <c r="J386" s="31" t="s">
        <v>796</v>
      </c>
      <c r="K386" s="27" t="s">
        <v>747</v>
      </c>
      <c r="L386" s="34">
        <v>46178.0</v>
      </c>
      <c r="M386" s="35" t="s">
        <v>139</v>
      </c>
      <c r="N386" s="2">
        <v>2655.0</v>
      </c>
      <c r="O386" s="36" t="s">
        <v>796</v>
      </c>
      <c r="P386" s="63">
        <v>46183.0</v>
      </c>
      <c r="Q386" s="38"/>
      <c r="R386" s="38"/>
      <c r="S386" s="38"/>
      <c r="T386" s="38"/>
      <c r="U386" s="38"/>
      <c r="V386" s="38"/>
    </row>
    <row r="387">
      <c r="A387" s="23">
        <v>45897.0</v>
      </c>
      <c r="B387" s="25">
        <v>2.093501849E9</v>
      </c>
      <c r="C387" s="27" t="s">
        <v>202</v>
      </c>
      <c r="D387" s="28" t="s">
        <v>45</v>
      </c>
      <c r="E387" s="27">
        <v>1.0</v>
      </c>
      <c r="F387" s="27"/>
      <c r="G387" s="27" t="s">
        <v>797</v>
      </c>
      <c r="H387" s="28">
        <v>5401.0</v>
      </c>
      <c r="I387" s="30" t="str">
        <f t="shared" si="1"/>
        <v>5401-GSB-042259543823100047</v>
      </c>
      <c r="J387" s="31" t="s">
        <v>796</v>
      </c>
      <c r="K387" s="27" t="s">
        <v>747</v>
      </c>
      <c r="L387" s="34">
        <v>46178.0</v>
      </c>
      <c r="M387" s="35" t="s">
        <v>139</v>
      </c>
      <c r="N387" s="2">
        <v>2655.0</v>
      </c>
      <c r="O387" s="36" t="s">
        <v>796</v>
      </c>
      <c r="P387" s="63">
        <v>46183.0</v>
      </c>
      <c r="Q387" s="38"/>
      <c r="R387" s="38"/>
      <c r="S387" s="38"/>
      <c r="T387" s="38"/>
      <c r="U387" s="38"/>
      <c r="V387" s="38"/>
    </row>
    <row r="388">
      <c r="A388" s="23">
        <v>45897.0</v>
      </c>
      <c r="B388" s="27" t="s">
        <v>35</v>
      </c>
      <c r="C388" s="27">
        <v>4.998114565E9</v>
      </c>
      <c r="D388" s="28" t="s">
        <v>2</v>
      </c>
      <c r="E388" s="27">
        <v>1.0</v>
      </c>
      <c r="F388" s="27" t="s">
        <v>798</v>
      </c>
      <c r="G388" s="109" t="s">
        <v>35</v>
      </c>
      <c r="H388" s="28">
        <v>2210.0</v>
      </c>
      <c r="I388" s="30" t="str">
        <f t="shared" ref="I388:I393" si="2">CONCATENATE(H388,"-","GSB","-",F388)</f>
        <v>2210-GSB-SDS1034669</v>
      </c>
      <c r="J388" s="31" t="s">
        <v>772</v>
      </c>
      <c r="K388" s="27" t="s">
        <v>85</v>
      </c>
      <c r="L388" s="34">
        <v>46184.0</v>
      </c>
      <c r="M388" s="35" t="s">
        <v>139</v>
      </c>
      <c r="N388" s="2">
        <v>3146.0</v>
      </c>
      <c r="O388" s="36" t="s">
        <v>773</v>
      </c>
      <c r="P388" s="63">
        <v>46192.0</v>
      </c>
      <c r="Q388" s="38"/>
      <c r="R388" s="38"/>
      <c r="S388" s="38"/>
      <c r="T388" s="38"/>
      <c r="U388" s="38"/>
      <c r="V388" s="38"/>
    </row>
    <row r="389">
      <c r="A389" s="23">
        <v>45897.0</v>
      </c>
      <c r="B389" s="27" t="s">
        <v>35</v>
      </c>
      <c r="C389" s="27">
        <v>4.998114565E9</v>
      </c>
      <c r="D389" s="28" t="s">
        <v>2</v>
      </c>
      <c r="E389" s="27">
        <v>1.0</v>
      </c>
      <c r="F389" s="27" t="s">
        <v>799</v>
      </c>
      <c r="G389" s="109" t="s">
        <v>35</v>
      </c>
      <c r="H389" s="28">
        <v>2215.0</v>
      </c>
      <c r="I389" s="30" t="str">
        <f t="shared" si="2"/>
        <v>2215-GSB-SDS1034657</v>
      </c>
      <c r="J389" s="31" t="s">
        <v>772</v>
      </c>
      <c r="K389" s="27" t="s">
        <v>85</v>
      </c>
      <c r="L389" s="34">
        <v>46184.0</v>
      </c>
      <c r="M389" s="35" t="s">
        <v>139</v>
      </c>
      <c r="N389" s="2">
        <v>3311.0</v>
      </c>
      <c r="O389" s="36" t="s">
        <v>800</v>
      </c>
      <c r="P389" s="63">
        <v>47349.0</v>
      </c>
      <c r="Q389" s="38"/>
      <c r="R389" s="38"/>
      <c r="S389" s="38"/>
      <c r="T389" s="38"/>
      <c r="U389" s="38"/>
      <c r="V389" s="38"/>
    </row>
    <row r="390">
      <c r="A390" s="23">
        <v>45897.0</v>
      </c>
      <c r="B390" s="27" t="s">
        <v>35</v>
      </c>
      <c r="C390" s="27">
        <v>4.998114565E9</v>
      </c>
      <c r="D390" s="28" t="s">
        <v>2</v>
      </c>
      <c r="E390" s="27">
        <v>1.0</v>
      </c>
      <c r="F390" s="27" t="s">
        <v>801</v>
      </c>
      <c r="G390" s="109" t="s">
        <v>35</v>
      </c>
      <c r="H390" s="28">
        <v>9071.0</v>
      </c>
      <c r="I390" s="30" t="str">
        <f t="shared" si="2"/>
        <v>9071-GSB-SDS1027837</v>
      </c>
      <c r="J390" s="31" t="s">
        <v>772</v>
      </c>
      <c r="K390" s="27" t="s">
        <v>85</v>
      </c>
      <c r="L390" s="34">
        <v>46184.0</v>
      </c>
      <c r="M390" s="35" t="s">
        <v>139</v>
      </c>
      <c r="N390" s="2"/>
      <c r="O390" s="51"/>
      <c r="P390" s="93"/>
      <c r="Q390" s="38"/>
      <c r="R390" s="38"/>
      <c r="S390" s="38"/>
      <c r="T390" s="38"/>
      <c r="U390" s="38"/>
      <c r="V390" s="38"/>
    </row>
    <row r="391">
      <c r="A391" s="23">
        <v>45897.0</v>
      </c>
      <c r="B391" s="27" t="s">
        <v>35</v>
      </c>
      <c r="C391" s="27">
        <v>4.998114565E9</v>
      </c>
      <c r="D391" s="28" t="s">
        <v>2</v>
      </c>
      <c r="E391" s="27">
        <v>1.0</v>
      </c>
      <c r="F391" s="27" t="s">
        <v>802</v>
      </c>
      <c r="G391" s="109" t="s">
        <v>35</v>
      </c>
      <c r="H391" s="28">
        <v>2217.0</v>
      </c>
      <c r="I391" s="30" t="str">
        <f t="shared" si="2"/>
        <v>2217-GSB-SDS1034678</v>
      </c>
      <c r="J391" s="31" t="s">
        <v>772</v>
      </c>
      <c r="K391" s="27" t="s">
        <v>85</v>
      </c>
      <c r="L391" s="34">
        <v>46184.0</v>
      </c>
      <c r="M391" s="35" t="s">
        <v>139</v>
      </c>
      <c r="N391" s="2">
        <v>3146.0</v>
      </c>
      <c r="O391" s="36" t="s">
        <v>773</v>
      </c>
      <c r="P391" s="63">
        <v>46192.0</v>
      </c>
      <c r="Q391" s="38"/>
      <c r="R391" s="38"/>
      <c r="S391" s="38"/>
      <c r="T391" s="38"/>
      <c r="U391" s="38"/>
      <c r="V391" s="38"/>
    </row>
    <row r="392">
      <c r="A392" s="23">
        <v>45897.0</v>
      </c>
      <c r="B392" s="27" t="s">
        <v>35</v>
      </c>
      <c r="C392" s="27">
        <v>4.998114565E9</v>
      </c>
      <c r="D392" s="28" t="s">
        <v>2</v>
      </c>
      <c r="E392" s="27">
        <v>1.0</v>
      </c>
      <c r="F392" s="27" t="s">
        <v>803</v>
      </c>
      <c r="G392" s="109" t="s">
        <v>35</v>
      </c>
      <c r="H392" s="28">
        <v>2218.0</v>
      </c>
      <c r="I392" s="30" t="str">
        <f t="shared" si="2"/>
        <v>2218-GSB-SDS1034675</v>
      </c>
      <c r="J392" s="31" t="s">
        <v>772</v>
      </c>
      <c r="K392" s="27" t="s">
        <v>85</v>
      </c>
      <c r="L392" s="34">
        <v>46184.0</v>
      </c>
      <c r="M392" s="35" t="s">
        <v>139</v>
      </c>
      <c r="N392" s="2">
        <v>3146.0</v>
      </c>
      <c r="O392" s="36" t="s">
        <v>773</v>
      </c>
      <c r="P392" s="63">
        <v>46192.0</v>
      </c>
      <c r="Q392" s="38"/>
      <c r="R392" s="38"/>
      <c r="S392" s="38"/>
      <c r="T392" s="38"/>
      <c r="U392" s="38"/>
      <c r="V392" s="38"/>
    </row>
    <row r="393">
      <c r="A393" s="23">
        <v>45897.0</v>
      </c>
      <c r="B393" s="27" t="s">
        <v>35</v>
      </c>
      <c r="C393" s="27">
        <v>4.998114565E9</v>
      </c>
      <c r="D393" s="28" t="s">
        <v>2</v>
      </c>
      <c r="E393" s="27">
        <v>1.0</v>
      </c>
      <c r="F393" s="27" t="s">
        <v>804</v>
      </c>
      <c r="G393" s="109" t="s">
        <v>35</v>
      </c>
      <c r="H393" s="28">
        <v>2214.0</v>
      </c>
      <c r="I393" s="30" t="str">
        <f t="shared" si="2"/>
        <v>2214-GSB-SDS1034654</v>
      </c>
      <c r="J393" s="31" t="s">
        <v>772</v>
      </c>
      <c r="K393" s="27" t="s">
        <v>85</v>
      </c>
      <c r="L393" s="34">
        <v>46184.0</v>
      </c>
      <c r="M393" s="35" t="s">
        <v>139</v>
      </c>
      <c r="N393" s="2">
        <v>3146.0</v>
      </c>
      <c r="O393" s="36" t="s">
        <v>773</v>
      </c>
      <c r="P393" s="63">
        <v>46192.0</v>
      </c>
      <c r="Q393" s="38"/>
      <c r="R393" s="38"/>
      <c r="S393" s="38"/>
      <c r="T393" s="38"/>
      <c r="U393" s="38"/>
      <c r="V393" s="38"/>
    </row>
    <row r="394">
      <c r="A394" s="23">
        <v>46064.0</v>
      </c>
      <c r="B394" s="25" t="s">
        <v>94</v>
      </c>
      <c r="C394" s="27">
        <v>4.998114565E9</v>
      </c>
      <c r="D394" s="28" t="s">
        <v>2</v>
      </c>
      <c r="E394" s="27">
        <v>1.0</v>
      </c>
      <c r="F394" s="109" t="s">
        <v>35</v>
      </c>
      <c r="G394" s="27">
        <v>1035646.0</v>
      </c>
      <c r="H394" s="28">
        <v>9113.0</v>
      </c>
      <c r="I394" s="30" t="str">
        <f t="shared" ref="I394:I396" si="3">CONCATENATE(H394,"-","GSB","-",G394)</f>
        <v>9113-GSB-1035646</v>
      </c>
      <c r="J394" s="31" t="s">
        <v>772</v>
      </c>
      <c r="K394" s="27" t="s">
        <v>85</v>
      </c>
      <c r="L394" s="34">
        <v>46184.0</v>
      </c>
      <c r="M394" s="35" t="s">
        <v>139</v>
      </c>
      <c r="N394" s="2">
        <v>3146.0</v>
      </c>
      <c r="O394" s="36" t="s">
        <v>773</v>
      </c>
      <c r="P394" s="63">
        <v>46192.0</v>
      </c>
      <c r="Q394" s="38"/>
      <c r="R394" s="38"/>
      <c r="S394" s="38"/>
      <c r="T394" s="38"/>
      <c r="U394" s="38"/>
      <c r="V394" s="38"/>
    </row>
    <row r="395">
      <c r="A395" s="75">
        <v>46132.0</v>
      </c>
      <c r="B395" s="27" t="s">
        <v>35</v>
      </c>
      <c r="C395" s="27">
        <v>4.998114565E9</v>
      </c>
      <c r="D395" s="28" t="s">
        <v>2</v>
      </c>
      <c r="E395" s="27">
        <v>1.0</v>
      </c>
      <c r="F395" s="109" t="s">
        <v>35</v>
      </c>
      <c r="G395" s="27" t="s">
        <v>35</v>
      </c>
      <c r="H395" s="28">
        <v>10169.0</v>
      </c>
      <c r="I395" s="30" t="str">
        <f t="shared" si="3"/>
        <v>10169-GSB-N/A</v>
      </c>
      <c r="J395" s="31" t="s">
        <v>772</v>
      </c>
      <c r="K395" s="27" t="s">
        <v>85</v>
      </c>
      <c r="L395" s="34">
        <v>46184.0</v>
      </c>
      <c r="M395" s="35" t="s">
        <v>139</v>
      </c>
      <c r="N395" s="2">
        <v>3146.0</v>
      </c>
      <c r="O395" s="36" t="s">
        <v>773</v>
      </c>
      <c r="P395" s="63">
        <v>46192.0</v>
      </c>
      <c r="Q395" s="38"/>
      <c r="R395" s="38"/>
      <c r="S395" s="38"/>
      <c r="T395" s="38"/>
      <c r="U395" s="38"/>
      <c r="V395" s="38"/>
    </row>
    <row r="396">
      <c r="A396" s="75">
        <v>46149.0</v>
      </c>
      <c r="B396" s="27" t="s">
        <v>35</v>
      </c>
      <c r="C396" s="27">
        <v>4.998114565E9</v>
      </c>
      <c r="D396" s="28" t="s">
        <v>2</v>
      </c>
      <c r="E396" s="27">
        <v>1.0</v>
      </c>
      <c r="F396" s="109" t="s">
        <v>35</v>
      </c>
      <c r="G396" s="27" t="s">
        <v>35</v>
      </c>
      <c r="H396" s="28">
        <v>10184.0</v>
      </c>
      <c r="I396" s="70" t="str">
        <f t="shared" si="3"/>
        <v>10184-GSB-N/A</v>
      </c>
      <c r="J396" s="31" t="s">
        <v>772</v>
      </c>
      <c r="K396" s="27" t="s">
        <v>85</v>
      </c>
      <c r="L396" s="34">
        <v>46184.0</v>
      </c>
      <c r="M396" s="35" t="s">
        <v>139</v>
      </c>
      <c r="N396" s="2">
        <v>3146.0</v>
      </c>
      <c r="O396" s="36" t="s">
        <v>773</v>
      </c>
      <c r="P396" s="63">
        <v>46192.0</v>
      </c>
      <c r="Q396" s="38"/>
      <c r="R396" s="38"/>
      <c r="S396" s="38"/>
      <c r="T396" s="38"/>
      <c r="U396" s="38"/>
      <c r="V396" s="38"/>
    </row>
    <row r="397">
      <c r="A397" s="75">
        <v>46149.0</v>
      </c>
      <c r="B397" s="27" t="s">
        <v>35</v>
      </c>
      <c r="C397" s="27">
        <v>4.998114565E9</v>
      </c>
      <c r="D397" s="28" t="s">
        <v>2</v>
      </c>
      <c r="E397" s="27">
        <v>1.0</v>
      </c>
      <c r="F397" s="27" t="s">
        <v>351</v>
      </c>
      <c r="G397" s="109" t="s">
        <v>35</v>
      </c>
      <c r="H397" s="28">
        <v>10178.0</v>
      </c>
      <c r="I397" s="70" t="str">
        <f>CONCATENATE(H397,"-","GSB","-",F397)</f>
        <v>10178-GSB-SDS-1035534</v>
      </c>
      <c r="J397" s="31" t="s">
        <v>772</v>
      </c>
      <c r="K397" s="27" t="s">
        <v>85</v>
      </c>
      <c r="L397" s="34">
        <v>46184.0</v>
      </c>
      <c r="M397" s="35" t="s">
        <v>139</v>
      </c>
      <c r="N397" s="62"/>
      <c r="O397" s="102"/>
      <c r="P397" s="58"/>
      <c r="Q397" s="38"/>
      <c r="R397" s="38"/>
      <c r="S397" s="38"/>
      <c r="T397" s="38"/>
      <c r="U397" s="38"/>
      <c r="V397" s="38"/>
    </row>
    <row r="398">
      <c r="A398" s="75">
        <v>46149.0</v>
      </c>
      <c r="B398" s="27" t="s">
        <v>35</v>
      </c>
      <c r="C398" s="27">
        <v>4.998114565E9</v>
      </c>
      <c r="D398" s="28" t="s">
        <v>2</v>
      </c>
      <c r="E398" s="27">
        <v>1.0</v>
      </c>
      <c r="F398" s="109" t="s">
        <v>35</v>
      </c>
      <c r="G398" s="27" t="s">
        <v>35</v>
      </c>
      <c r="H398" s="28">
        <v>10179.0</v>
      </c>
      <c r="I398" s="70" t="str">
        <f>CONCATENATE(H398,"-","GSB","-",G398)</f>
        <v>10179-GSB-N/A</v>
      </c>
      <c r="J398" s="31" t="s">
        <v>772</v>
      </c>
      <c r="K398" s="27" t="s">
        <v>85</v>
      </c>
      <c r="L398" s="34">
        <v>46184.0</v>
      </c>
      <c r="M398" s="35" t="s">
        <v>139</v>
      </c>
      <c r="N398" s="2"/>
      <c r="O398" s="51"/>
      <c r="P398" s="93"/>
      <c r="Q398" s="38"/>
      <c r="R398" s="38"/>
      <c r="S398" s="38"/>
      <c r="T398" s="38"/>
      <c r="U398" s="38"/>
      <c r="V398" s="38"/>
    </row>
    <row r="399">
      <c r="A399" s="75">
        <v>46184.0</v>
      </c>
      <c r="B399" s="27">
        <v>59859.0</v>
      </c>
      <c r="C399" s="27">
        <v>4.998114565E9</v>
      </c>
      <c r="D399" s="28" t="s">
        <v>2</v>
      </c>
      <c r="E399" s="27">
        <v>1.0</v>
      </c>
      <c r="F399" s="27" t="s">
        <v>805</v>
      </c>
      <c r="G399" s="109" t="s">
        <v>35</v>
      </c>
      <c r="H399" s="28">
        <v>10300.0</v>
      </c>
      <c r="I399" s="70" t="str">
        <f t="shared" ref="I399:I400" si="4">CONCATENATE(H399,"-","GSB","-",F399)</f>
        <v>10300-GSB-SDS-1043594</v>
      </c>
      <c r="J399" s="31" t="s">
        <v>772</v>
      </c>
      <c r="K399" s="27" t="s">
        <v>85</v>
      </c>
      <c r="L399" s="34">
        <v>46184.0</v>
      </c>
      <c r="M399" s="35" t="s">
        <v>139</v>
      </c>
      <c r="N399" s="2">
        <v>3146.0</v>
      </c>
      <c r="O399" s="36" t="s">
        <v>773</v>
      </c>
      <c r="P399" s="63">
        <v>46192.0</v>
      </c>
      <c r="Q399" s="38"/>
      <c r="R399" s="38"/>
      <c r="S399" s="38"/>
      <c r="T399" s="38"/>
      <c r="U399" s="38"/>
      <c r="V399" s="38"/>
    </row>
    <row r="400">
      <c r="A400" s="75">
        <v>46184.0</v>
      </c>
      <c r="B400" s="27">
        <v>59859.0</v>
      </c>
      <c r="C400" s="27">
        <v>4.998114565E9</v>
      </c>
      <c r="D400" s="28" t="s">
        <v>2</v>
      </c>
      <c r="E400" s="27">
        <v>1.0</v>
      </c>
      <c r="F400" s="27" t="s">
        <v>806</v>
      </c>
      <c r="G400" s="109" t="s">
        <v>35</v>
      </c>
      <c r="H400" s="28">
        <v>10301.0</v>
      </c>
      <c r="I400" s="70" t="str">
        <f t="shared" si="4"/>
        <v>10301-GSB-SDS-1043598</v>
      </c>
      <c r="J400" s="31" t="s">
        <v>772</v>
      </c>
      <c r="K400" s="27" t="s">
        <v>85</v>
      </c>
      <c r="L400" s="34">
        <v>46184.0</v>
      </c>
      <c r="M400" s="35" t="s">
        <v>139</v>
      </c>
      <c r="N400" s="2">
        <v>3146.0</v>
      </c>
      <c r="O400" s="36" t="s">
        <v>773</v>
      </c>
      <c r="P400" s="63">
        <v>46192.0</v>
      </c>
      <c r="Q400" s="38"/>
      <c r="R400" s="38"/>
      <c r="S400" s="38"/>
      <c r="T400" s="38"/>
      <c r="U400" s="38"/>
      <c r="V400" s="38"/>
    </row>
    <row r="401">
      <c r="A401" s="75">
        <v>46184.0</v>
      </c>
      <c r="B401" s="27" t="s">
        <v>35</v>
      </c>
      <c r="C401" s="27" t="s">
        <v>35</v>
      </c>
      <c r="D401" s="28" t="s">
        <v>31</v>
      </c>
      <c r="E401" s="27">
        <v>1.0</v>
      </c>
      <c r="F401" s="109" t="s">
        <v>35</v>
      </c>
      <c r="G401" s="27" t="s">
        <v>35</v>
      </c>
      <c r="H401" s="28">
        <v>10259.0</v>
      </c>
      <c r="I401" s="30" t="str">
        <f t="shared" ref="I401:I414" si="5">CONCATENATE(H401,"-","GSB","-",G401)</f>
        <v>10259-GSB-N/A</v>
      </c>
      <c r="J401" s="31" t="s">
        <v>772</v>
      </c>
      <c r="K401" s="27" t="s">
        <v>85</v>
      </c>
      <c r="L401" s="34">
        <v>46184.0</v>
      </c>
      <c r="M401" s="35" t="s">
        <v>139</v>
      </c>
      <c r="N401" s="2">
        <v>3145.0</v>
      </c>
      <c r="O401" s="36" t="s">
        <v>773</v>
      </c>
      <c r="P401" s="63">
        <v>46192.0</v>
      </c>
      <c r="Q401" s="38"/>
      <c r="R401" s="38"/>
      <c r="S401" s="38"/>
      <c r="T401" s="38"/>
      <c r="U401" s="38"/>
      <c r="V401" s="38"/>
    </row>
    <row r="402">
      <c r="A402" s="75">
        <v>46184.0</v>
      </c>
      <c r="B402" s="27" t="s">
        <v>35</v>
      </c>
      <c r="C402" s="27" t="s">
        <v>35</v>
      </c>
      <c r="D402" s="28" t="s">
        <v>31</v>
      </c>
      <c r="E402" s="27">
        <v>1.0</v>
      </c>
      <c r="F402" s="109" t="s">
        <v>35</v>
      </c>
      <c r="G402" s="27" t="s">
        <v>35</v>
      </c>
      <c r="H402" s="28">
        <v>10260.0</v>
      </c>
      <c r="I402" s="30" t="str">
        <f t="shared" si="5"/>
        <v>10260-GSB-N/A</v>
      </c>
      <c r="J402" s="31" t="s">
        <v>772</v>
      </c>
      <c r="K402" s="27" t="s">
        <v>85</v>
      </c>
      <c r="L402" s="34">
        <v>46184.0</v>
      </c>
      <c r="M402" s="35" t="s">
        <v>139</v>
      </c>
      <c r="N402" s="2">
        <v>3145.0</v>
      </c>
      <c r="O402" s="36" t="s">
        <v>773</v>
      </c>
      <c r="P402" s="63">
        <v>46192.0</v>
      </c>
      <c r="Q402" s="38"/>
      <c r="R402" s="38"/>
      <c r="S402" s="38"/>
      <c r="T402" s="38"/>
      <c r="U402" s="38"/>
      <c r="V402" s="38"/>
    </row>
    <row r="403">
      <c r="A403" s="75">
        <v>46184.0</v>
      </c>
      <c r="B403" s="27" t="s">
        <v>35</v>
      </c>
      <c r="C403" s="27" t="s">
        <v>35</v>
      </c>
      <c r="D403" s="28" t="s">
        <v>31</v>
      </c>
      <c r="E403" s="27">
        <v>1.0</v>
      </c>
      <c r="F403" s="109" t="s">
        <v>35</v>
      </c>
      <c r="G403" s="27" t="s">
        <v>35</v>
      </c>
      <c r="H403" s="28">
        <v>10261.0</v>
      </c>
      <c r="I403" s="30" t="str">
        <f t="shared" si="5"/>
        <v>10261-GSB-N/A</v>
      </c>
      <c r="J403" s="31" t="s">
        <v>772</v>
      </c>
      <c r="K403" s="27" t="s">
        <v>85</v>
      </c>
      <c r="L403" s="34">
        <v>46184.0</v>
      </c>
      <c r="M403" s="35" t="s">
        <v>139</v>
      </c>
      <c r="N403" s="2">
        <v>3145.0</v>
      </c>
      <c r="O403" s="36" t="s">
        <v>773</v>
      </c>
      <c r="P403" s="63">
        <v>46192.0</v>
      </c>
      <c r="Q403" s="38"/>
      <c r="R403" s="38"/>
      <c r="S403" s="38"/>
      <c r="T403" s="38"/>
      <c r="U403" s="38"/>
      <c r="V403" s="38"/>
    </row>
    <row r="404">
      <c r="A404" s="75">
        <v>46149.0</v>
      </c>
      <c r="B404" s="25">
        <v>2.093501849E9</v>
      </c>
      <c r="C404" s="27">
        <v>4.998117557E9</v>
      </c>
      <c r="D404" s="28" t="s">
        <v>5</v>
      </c>
      <c r="E404" s="27">
        <v>1.0</v>
      </c>
      <c r="F404" s="27"/>
      <c r="G404" s="27" t="s">
        <v>338</v>
      </c>
      <c r="H404" s="28">
        <v>6006.0</v>
      </c>
      <c r="I404" s="70" t="str">
        <f t="shared" si="5"/>
        <v>6006-GSB-092256843826290712</v>
      </c>
      <c r="J404" s="31" t="s">
        <v>772</v>
      </c>
      <c r="K404" s="27" t="s">
        <v>85</v>
      </c>
      <c r="L404" s="34">
        <v>46184.0</v>
      </c>
      <c r="M404" s="35" t="s">
        <v>139</v>
      </c>
      <c r="N404" s="2">
        <v>3146.0</v>
      </c>
      <c r="O404" s="36" t="s">
        <v>773</v>
      </c>
      <c r="P404" s="63">
        <v>46192.0</v>
      </c>
      <c r="Q404" s="38"/>
      <c r="R404" s="38"/>
      <c r="S404" s="38"/>
      <c r="T404" s="38"/>
      <c r="U404" s="38"/>
      <c r="V404" s="38"/>
    </row>
    <row r="405">
      <c r="A405" s="75">
        <v>46174.0</v>
      </c>
      <c r="B405" s="27" t="s">
        <v>807</v>
      </c>
      <c r="C405" s="27">
        <v>4.998117557E9</v>
      </c>
      <c r="D405" s="28" t="s">
        <v>5</v>
      </c>
      <c r="E405" s="27">
        <v>1.0</v>
      </c>
      <c r="F405" s="27"/>
      <c r="G405" s="27" t="s">
        <v>808</v>
      </c>
      <c r="H405" s="28">
        <v>5809.0</v>
      </c>
      <c r="I405" s="30" t="str">
        <f t="shared" si="5"/>
        <v>5809-GSB-092256847892120450</v>
      </c>
      <c r="J405" s="31" t="s">
        <v>772</v>
      </c>
      <c r="K405" s="27" t="s">
        <v>85</v>
      </c>
      <c r="L405" s="34">
        <v>46184.0</v>
      </c>
      <c r="M405" s="35" t="s">
        <v>139</v>
      </c>
      <c r="N405" s="2">
        <v>3146.0</v>
      </c>
      <c r="O405" s="36" t="s">
        <v>773</v>
      </c>
      <c r="P405" s="63">
        <v>46192.0</v>
      </c>
      <c r="Q405" s="38"/>
      <c r="R405" s="38"/>
      <c r="S405" s="38"/>
      <c r="T405" s="38"/>
      <c r="U405" s="38"/>
      <c r="V405" s="38"/>
    </row>
    <row r="406">
      <c r="A406" s="75">
        <v>46174.0</v>
      </c>
      <c r="B406" s="27" t="s">
        <v>809</v>
      </c>
      <c r="C406" s="27">
        <v>4.998117557E9</v>
      </c>
      <c r="D406" s="28" t="s">
        <v>5</v>
      </c>
      <c r="E406" s="27">
        <v>1.0</v>
      </c>
      <c r="F406" s="27"/>
      <c r="G406" s="27" t="s">
        <v>810</v>
      </c>
      <c r="H406" s="28">
        <v>5794.0</v>
      </c>
      <c r="I406" s="30" t="str">
        <f t="shared" si="5"/>
        <v>5794-GSB-092256847892120819</v>
      </c>
      <c r="J406" s="31" t="s">
        <v>772</v>
      </c>
      <c r="K406" s="27" t="s">
        <v>85</v>
      </c>
      <c r="L406" s="34">
        <v>46184.0</v>
      </c>
      <c r="M406" s="35" t="s">
        <v>139</v>
      </c>
      <c r="N406" s="2">
        <v>3146.0</v>
      </c>
      <c r="O406" s="36" t="s">
        <v>773</v>
      </c>
      <c r="P406" s="63">
        <v>46192.0</v>
      </c>
      <c r="Q406" s="38"/>
      <c r="R406" s="38"/>
      <c r="S406" s="38"/>
      <c r="T406" s="38"/>
      <c r="U406" s="38"/>
      <c r="V406" s="38"/>
    </row>
    <row r="407">
      <c r="A407" s="75">
        <v>46174.0</v>
      </c>
      <c r="B407" s="27" t="s">
        <v>811</v>
      </c>
      <c r="C407" s="27">
        <v>4.998117557E9</v>
      </c>
      <c r="D407" s="28" t="s">
        <v>5</v>
      </c>
      <c r="E407" s="27">
        <v>1.0</v>
      </c>
      <c r="F407" s="27"/>
      <c r="G407" s="27" t="s">
        <v>812</v>
      </c>
      <c r="H407" s="28">
        <v>4889.0</v>
      </c>
      <c r="I407" s="30" t="str">
        <f t="shared" si="5"/>
        <v>4889-GSB-092256847517520258</v>
      </c>
      <c r="J407" s="31" t="s">
        <v>772</v>
      </c>
      <c r="K407" s="27" t="s">
        <v>85</v>
      </c>
      <c r="L407" s="34">
        <v>46184.0</v>
      </c>
      <c r="M407" s="35" t="s">
        <v>139</v>
      </c>
      <c r="N407" s="2">
        <v>3146.0</v>
      </c>
      <c r="O407" s="36" t="s">
        <v>773</v>
      </c>
      <c r="P407" s="63">
        <v>46192.0</v>
      </c>
      <c r="Q407" s="38"/>
      <c r="R407" s="38"/>
      <c r="S407" s="38"/>
      <c r="T407" s="38"/>
      <c r="U407" s="38"/>
      <c r="V407" s="38"/>
    </row>
    <row r="408">
      <c r="A408" s="75">
        <v>46174.0</v>
      </c>
      <c r="B408" s="27" t="s">
        <v>813</v>
      </c>
      <c r="C408" s="27">
        <v>4.998117557E9</v>
      </c>
      <c r="D408" s="28" t="s">
        <v>5</v>
      </c>
      <c r="E408" s="27">
        <v>1.0</v>
      </c>
      <c r="F408" s="27"/>
      <c r="G408" s="27" t="s">
        <v>814</v>
      </c>
      <c r="H408" s="28">
        <v>5690.0</v>
      </c>
      <c r="I408" s="30" t="str">
        <f t="shared" si="5"/>
        <v>5690-GSB-092256847766640794</v>
      </c>
      <c r="J408" s="31" t="s">
        <v>772</v>
      </c>
      <c r="K408" s="27" t="s">
        <v>85</v>
      </c>
      <c r="L408" s="34">
        <v>46184.0</v>
      </c>
      <c r="M408" s="35" t="s">
        <v>139</v>
      </c>
      <c r="N408" s="2">
        <v>3146.0</v>
      </c>
      <c r="O408" s="36" t="s">
        <v>773</v>
      </c>
      <c r="P408" s="63">
        <v>46192.0</v>
      </c>
      <c r="Q408" s="38"/>
      <c r="R408" s="38"/>
      <c r="S408" s="38"/>
      <c r="T408" s="38"/>
      <c r="U408" s="38"/>
      <c r="V408" s="38"/>
    </row>
    <row r="409">
      <c r="A409" s="75">
        <v>46174.0</v>
      </c>
      <c r="B409" s="27" t="s">
        <v>815</v>
      </c>
      <c r="C409" s="27">
        <v>4.998117557E9</v>
      </c>
      <c r="D409" s="28" t="s">
        <v>5</v>
      </c>
      <c r="E409" s="27">
        <v>1.0</v>
      </c>
      <c r="F409" s="27"/>
      <c r="G409" s="27" t="s">
        <v>816</v>
      </c>
      <c r="H409" s="28">
        <v>5628.0</v>
      </c>
      <c r="I409" s="30" t="str">
        <f t="shared" si="5"/>
        <v>5628-GSB-092256847766640813</v>
      </c>
      <c r="J409" s="31" t="s">
        <v>772</v>
      </c>
      <c r="K409" s="27" t="s">
        <v>85</v>
      </c>
      <c r="L409" s="34">
        <v>46184.0</v>
      </c>
      <c r="M409" s="35" t="s">
        <v>139</v>
      </c>
      <c r="N409" s="2">
        <v>3146.0</v>
      </c>
      <c r="O409" s="36" t="s">
        <v>773</v>
      </c>
      <c r="P409" s="63">
        <v>46192.0</v>
      </c>
      <c r="Q409" s="38"/>
      <c r="R409" s="38"/>
      <c r="S409" s="38"/>
      <c r="T409" s="38"/>
      <c r="U409" s="38"/>
      <c r="V409" s="38"/>
    </row>
    <row r="410">
      <c r="A410" s="75">
        <v>46174.0</v>
      </c>
      <c r="B410" s="27" t="s">
        <v>817</v>
      </c>
      <c r="C410" s="27">
        <v>4.998117557E9</v>
      </c>
      <c r="D410" s="28" t="s">
        <v>5</v>
      </c>
      <c r="E410" s="27">
        <v>1.0</v>
      </c>
      <c r="F410" s="27"/>
      <c r="G410" s="27" t="s">
        <v>818</v>
      </c>
      <c r="H410" s="28">
        <v>5130.0</v>
      </c>
      <c r="I410" s="30" t="str">
        <f t="shared" si="5"/>
        <v>5130-GSB-092256843997580494</v>
      </c>
      <c r="J410" s="31" t="s">
        <v>772</v>
      </c>
      <c r="K410" s="27" t="s">
        <v>85</v>
      </c>
      <c r="L410" s="34">
        <v>46184.0</v>
      </c>
      <c r="M410" s="35" t="s">
        <v>139</v>
      </c>
      <c r="N410" s="2">
        <v>3146.0</v>
      </c>
      <c r="O410" s="36" t="s">
        <v>773</v>
      </c>
      <c r="P410" s="63">
        <v>46192.0</v>
      </c>
      <c r="Q410" s="38"/>
      <c r="R410" s="38"/>
      <c r="S410" s="38"/>
      <c r="T410" s="38"/>
      <c r="U410" s="38"/>
      <c r="V410" s="38"/>
    </row>
    <row r="411">
      <c r="A411" s="75">
        <v>46174.0</v>
      </c>
      <c r="B411" s="27" t="s">
        <v>819</v>
      </c>
      <c r="C411" s="27">
        <v>4.998117557E9</v>
      </c>
      <c r="D411" s="28" t="s">
        <v>5</v>
      </c>
      <c r="E411" s="27">
        <v>1.0</v>
      </c>
      <c r="F411" s="27"/>
      <c r="G411" s="27" t="s">
        <v>820</v>
      </c>
      <c r="H411" s="28">
        <v>5814.0</v>
      </c>
      <c r="I411" s="30" t="str">
        <f t="shared" si="5"/>
        <v>5814-GSB-092256847892120259</v>
      </c>
      <c r="J411" s="31" t="s">
        <v>772</v>
      </c>
      <c r="K411" s="27" t="s">
        <v>85</v>
      </c>
      <c r="L411" s="34">
        <v>46184.0</v>
      </c>
      <c r="M411" s="35" t="s">
        <v>139</v>
      </c>
      <c r="N411" s="2">
        <v>3146.0</v>
      </c>
      <c r="O411" s="36" t="s">
        <v>773</v>
      </c>
      <c r="P411" s="63">
        <v>46192.0</v>
      </c>
      <c r="Q411" s="38"/>
      <c r="R411" s="38"/>
      <c r="S411" s="38"/>
      <c r="T411" s="38"/>
      <c r="U411" s="38"/>
      <c r="V411" s="38"/>
    </row>
    <row r="412">
      <c r="A412" s="75">
        <v>46174.0</v>
      </c>
      <c r="B412" s="27" t="s">
        <v>821</v>
      </c>
      <c r="C412" s="27">
        <v>4.998117557E9</v>
      </c>
      <c r="D412" s="28" t="s">
        <v>5</v>
      </c>
      <c r="E412" s="27">
        <v>1.0</v>
      </c>
      <c r="F412" s="27"/>
      <c r="G412" s="27" t="s">
        <v>822</v>
      </c>
      <c r="H412" s="28">
        <v>5559.0</v>
      </c>
      <c r="I412" s="30" t="str">
        <f t="shared" si="5"/>
        <v>5559-GSB-092256847706150364</v>
      </c>
      <c r="J412" s="31" t="s">
        <v>772</v>
      </c>
      <c r="K412" s="27" t="s">
        <v>85</v>
      </c>
      <c r="L412" s="34">
        <v>46184.0</v>
      </c>
      <c r="M412" s="35" t="s">
        <v>139</v>
      </c>
      <c r="N412" s="2">
        <v>3146.0</v>
      </c>
      <c r="O412" s="36" t="s">
        <v>773</v>
      </c>
      <c r="P412" s="63">
        <v>46192.0</v>
      </c>
      <c r="Q412" s="38"/>
      <c r="R412" s="38"/>
      <c r="S412" s="38"/>
      <c r="T412" s="38"/>
      <c r="U412" s="38"/>
      <c r="V412" s="38"/>
    </row>
    <row r="413">
      <c r="A413" s="75">
        <v>46174.0</v>
      </c>
      <c r="B413" s="27" t="s">
        <v>823</v>
      </c>
      <c r="C413" s="27">
        <v>4.998117557E9</v>
      </c>
      <c r="D413" s="28" t="s">
        <v>5</v>
      </c>
      <c r="E413" s="27">
        <v>1.0</v>
      </c>
      <c r="F413" s="27"/>
      <c r="G413" s="27" t="s">
        <v>824</v>
      </c>
      <c r="H413" s="28">
        <v>5607.0</v>
      </c>
      <c r="I413" s="30" t="str">
        <f t="shared" si="5"/>
        <v>5607-GSB-092256847706150251</v>
      </c>
      <c r="J413" s="31" t="s">
        <v>772</v>
      </c>
      <c r="K413" s="27" t="s">
        <v>85</v>
      </c>
      <c r="L413" s="34">
        <v>46184.0</v>
      </c>
      <c r="M413" s="35" t="s">
        <v>139</v>
      </c>
      <c r="N413" s="2">
        <v>3146.0</v>
      </c>
      <c r="O413" s="36" t="s">
        <v>773</v>
      </c>
      <c r="P413" s="63">
        <v>46192.0</v>
      </c>
      <c r="Q413" s="38"/>
      <c r="R413" s="38"/>
      <c r="S413" s="38"/>
      <c r="T413" s="38"/>
      <c r="U413" s="38"/>
      <c r="V413" s="38"/>
    </row>
    <row r="414">
      <c r="A414" s="75">
        <v>46174.0</v>
      </c>
      <c r="B414" s="27" t="s">
        <v>758</v>
      </c>
      <c r="C414" s="27" t="s">
        <v>35</v>
      </c>
      <c r="D414" s="28" t="s">
        <v>759</v>
      </c>
      <c r="E414" s="27">
        <v>1.0</v>
      </c>
      <c r="F414" s="27"/>
      <c r="G414" s="27">
        <v>9.208517541815E16</v>
      </c>
      <c r="H414" s="28">
        <v>10195.0</v>
      </c>
      <c r="I414" s="30" t="str">
        <f t="shared" si="5"/>
        <v>10195-GSB-92085175418150000</v>
      </c>
      <c r="J414" s="31" t="s">
        <v>772</v>
      </c>
      <c r="K414" s="27" t="s">
        <v>85</v>
      </c>
      <c r="L414" s="34">
        <v>46184.0</v>
      </c>
      <c r="M414" s="35" t="s">
        <v>139</v>
      </c>
      <c r="N414" s="2">
        <v>3145.0</v>
      </c>
      <c r="O414" s="36" t="s">
        <v>773</v>
      </c>
      <c r="P414" s="63">
        <v>46192.0</v>
      </c>
      <c r="Q414" s="38"/>
      <c r="R414" s="38"/>
      <c r="S414" s="38"/>
      <c r="T414" s="38"/>
      <c r="U414" s="38"/>
      <c r="V414" s="38"/>
    </row>
    <row r="415">
      <c r="A415" s="75">
        <v>46149.0</v>
      </c>
      <c r="B415" s="25" t="s">
        <v>35</v>
      </c>
      <c r="C415" s="25" t="s">
        <v>355</v>
      </c>
      <c r="D415" s="28" t="s">
        <v>356</v>
      </c>
      <c r="E415" s="25">
        <v>1.0</v>
      </c>
      <c r="F415" s="27" t="s">
        <v>357</v>
      </c>
      <c r="G415" s="109" t="s">
        <v>35</v>
      </c>
      <c r="H415" s="28">
        <v>10172.0</v>
      </c>
      <c r="I415" s="70" t="str">
        <f>CONCATENATE(H415,"-","GSB","-",F415)</f>
        <v>10172-GSB-SDS-1027989</v>
      </c>
      <c r="J415" s="31" t="s">
        <v>772</v>
      </c>
      <c r="K415" s="27" t="s">
        <v>85</v>
      </c>
      <c r="L415" s="34">
        <v>46184.0</v>
      </c>
      <c r="M415" s="35" t="s">
        <v>139</v>
      </c>
      <c r="N415" s="2">
        <v>3146.0</v>
      </c>
      <c r="O415" s="36" t="s">
        <v>773</v>
      </c>
      <c r="P415" s="63">
        <v>46192.0</v>
      </c>
      <c r="Q415" s="38"/>
      <c r="R415" s="38"/>
      <c r="S415" s="38"/>
      <c r="T415" s="38"/>
      <c r="U415" s="38"/>
      <c r="V415" s="38"/>
    </row>
    <row r="416">
      <c r="A416" s="75">
        <v>46149.0</v>
      </c>
      <c r="B416" s="25" t="s">
        <v>35</v>
      </c>
      <c r="C416" s="25" t="s">
        <v>355</v>
      </c>
      <c r="D416" s="28" t="s">
        <v>356</v>
      </c>
      <c r="E416" s="25">
        <v>1.0</v>
      </c>
      <c r="F416" s="109" t="s">
        <v>35</v>
      </c>
      <c r="G416" s="27" t="s">
        <v>35</v>
      </c>
      <c r="H416" s="28">
        <v>10173.0</v>
      </c>
      <c r="I416" s="70" t="str">
        <f t="shared" ref="I416:I423" si="6">CONCATENATE(H416,"-","GSB","-",G416)</f>
        <v>10173-GSB-N/A</v>
      </c>
      <c r="J416" s="31" t="s">
        <v>772</v>
      </c>
      <c r="K416" s="27" t="s">
        <v>85</v>
      </c>
      <c r="L416" s="34">
        <v>46184.0</v>
      </c>
      <c r="M416" s="35" t="s">
        <v>139</v>
      </c>
      <c r="N416" s="2">
        <v>3146.0</v>
      </c>
      <c r="O416" s="36" t="s">
        <v>773</v>
      </c>
      <c r="P416" s="63">
        <v>46192.0</v>
      </c>
      <c r="Q416" s="38"/>
      <c r="R416" s="38"/>
      <c r="S416" s="38"/>
      <c r="T416" s="38"/>
      <c r="U416" s="38"/>
      <c r="V416" s="38"/>
    </row>
    <row r="417">
      <c r="A417" s="75">
        <v>46182.0</v>
      </c>
      <c r="B417" s="27" t="s">
        <v>503</v>
      </c>
      <c r="C417" s="27" t="s">
        <v>504</v>
      </c>
      <c r="D417" s="92" t="s">
        <v>42</v>
      </c>
      <c r="E417" s="27">
        <v>1.0</v>
      </c>
      <c r="F417" s="109" t="s">
        <v>35</v>
      </c>
      <c r="G417" s="27" t="s">
        <v>825</v>
      </c>
      <c r="H417" s="28">
        <v>10237.0</v>
      </c>
      <c r="I417" s="30" t="str">
        <f t="shared" si="6"/>
        <v>10237-GSB-093140637483920014</v>
      </c>
      <c r="J417" s="31" t="s">
        <v>772</v>
      </c>
      <c r="K417" s="27" t="s">
        <v>85</v>
      </c>
      <c r="L417" s="34">
        <v>46184.0</v>
      </c>
      <c r="M417" s="35" t="s">
        <v>139</v>
      </c>
      <c r="N417" s="2">
        <v>3146.0</v>
      </c>
      <c r="O417" s="36" t="s">
        <v>773</v>
      </c>
      <c r="P417" s="63">
        <v>46192.0</v>
      </c>
      <c r="Q417" s="38"/>
      <c r="R417" s="38"/>
      <c r="S417" s="38"/>
      <c r="T417" s="38"/>
      <c r="U417" s="38"/>
      <c r="V417" s="38"/>
    </row>
    <row r="418">
      <c r="A418" s="75">
        <v>46182.0</v>
      </c>
      <c r="B418" s="27" t="s">
        <v>503</v>
      </c>
      <c r="C418" s="27" t="s">
        <v>504</v>
      </c>
      <c r="D418" s="92" t="s">
        <v>42</v>
      </c>
      <c r="E418" s="27">
        <v>1.0</v>
      </c>
      <c r="F418" s="109" t="s">
        <v>35</v>
      </c>
      <c r="G418" s="27" t="s">
        <v>826</v>
      </c>
      <c r="H418" s="28">
        <v>10238.0</v>
      </c>
      <c r="I418" s="30" t="str">
        <f t="shared" si="6"/>
        <v>10238-GSB-093140637483920009</v>
      </c>
      <c r="J418" s="31" t="s">
        <v>772</v>
      </c>
      <c r="K418" s="27" t="s">
        <v>85</v>
      </c>
      <c r="L418" s="34">
        <v>46184.0</v>
      </c>
      <c r="M418" s="35" t="s">
        <v>139</v>
      </c>
      <c r="N418" s="2">
        <v>3146.0</v>
      </c>
      <c r="O418" s="36" t="s">
        <v>773</v>
      </c>
      <c r="P418" s="63">
        <v>46192.0</v>
      </c>
      <c r="Q418" s="38"/>
      <c r="R418" s="38"/>
      <c r="S418" s="38"/>
      <c r="T418" s="38"/>
      <c r="U418" s="38"/>
      <c r="V418" s="38"/>
    </row>
    <row r="419">
      <c r="A419" s="23">
        <v>45897.0</v>
      </c>
      <c r="B419" s="25">
        <v>2.093501849E9</v>
      </c>
      <c r="C419" s="27" t="s">
        <v>202</v>
      </c>
      <c r="D419" s="28" t="s">
        <v>45</v>
      </c>
      <c r="E419" s="27">
        <v>1.0</v>
      </c>
      <c r="F419" s="109" t="s">
        <v>35</v>
      </c>
      <c r="G419" s="27" t="s">
        <v>827</v>
      </c>
      <c r="H419" s="28">
        <v>5413.0</v>
      </c>
      <c r="I419" s="30" t="str">
        <f t="shared" si="6"/>
        <v>5413-GSB-042259543823100043</v>
      </c>
      <c r="J419" s="31" t="s">
        <v>772</v>
      </c>
      <c r="K419" s="27" t="s">
        <v>85</v>
      </c>
      <c r="L419" s="34">
        <v>46184.0</v>
      </c>
      <c r="M419" s="35" t="s">
        <v>139</v>
      </c>
      <c r="N419" s="2">
        <v>3145.0</v>
      </c>
      <c r="O419" s="36" t="s">
        <v>773</v>
      </c>
      <c r="P419" s="63">
        <v>46192.0</v>
      </c>
      <c r="Q419" s="38"/>
      <c r="R419" s="38"/>
      <c r="S419" s="38"/>
      <c r="T419" s="38"/>
      <c r="U419" s="38"/>
      <c r="V419" s="38"/>
    </row>
    <row r="420">
      <c r="A420" s="110">
        <v>46141.0</v>
      </c>
      <c r="B420" s="111" t="s">
        <v>35</v>
      </c>
      <c r="C420" s="111" t="s">
        <v>202</v>
      </c>
      <c r="D420" s="112" t="s">
        <v>45</v>
      </c>
      <c r="E420" s="111">
        <v>1.0</v>
      </c>
      <c r="F420" s="113" t="s">
        <v>35</v>
      </c>
      <c r="G420" s="111" t="s">
        <v>828</v>
      </c>
      <c r="H420" s="112">
        <v>5928.0</v>
      </c>
      <c r="I420" s="114" t="str">
        <f t="shared" si="6"/>
        <v>5928-GSB-042259553918100057</v>
      </c>
      <c r="J420" s="115" t="s">
        <v>772</v>
      </c>
      <c r="K420" s="111" t="s">
        <v>85</v>
      </c>
      <c r="L420" s="116">
        <v>46184.0</v>
      </c>
      <c r="M420" s="117" t="s">
        <v>139</v>
      </c>
      <c r="N420" s="106" t="s">
        <v>829</v>
      </c>
      <c r="O420" s="106" t="s">
        <v>829</v>
      </c>
      <c r="P420" s="106" t="s">
        <v>829</v>
      </c>
      <c r="Q420" s="38"/>
      <c r="R420" s="38"/>
      <c r="S420" s="38"/>
      <c r="T420" s="38"/>
      <c r="U420" s="38"/>
      <c r="V420" s="38"/>
    </row>
    <row r="421">
      <c r="A421" s="23">
        <v>46078.0</v>
      </c>
      <c r="B421" s="27" t="s">
        <v>375</v>
      </c>
      <c r="C421" s="27">
        <v>6.76544009023E11</v>
      </c>
      <c r="D421" s="28" t="s">
        <v>47</v>
      </c>
      <c r="E421" s="27">
        <v>1.0</v>
      </c>
      <c r="F421" s="109" t="s">
        <v>35</v>
      </c>
      <c r="G421" s="27" t="s">
        <v>35</v>
      </c>
      <c r="H421" s="28">
        <v>10037.0</v>
      </c>
      <c r="I421" s="30" t="str">
        <f t="shared" si="6"/>
        <v>10037-GSB-N/A</v>
      </c>
      <c r="J421" s="31" t="s">
        <v>772</v>
      </c>
      <c r="K421" s="27" t="s">
        <v>85</v>
      </c>
      <c r="L421" s="34">
        <v>46184.0</v>
      </c>
      <c r="M421" s="35" t="s">
        <v>139</v>
      </c>
      <c r="N421" s="2">
        <v>3145.0</v>
      </c>
      <c r="O421" s="36" t="s">
        <v>773</v>
      </c>
      <c r="P421" s="63">
        <v>46192.0</v>
      </c>
      <c r="Q421" s="38"/>
      <c r="R421" s="38"/>
      <c r="S421" s="38"/>
      <c r="T421" s="38"/>
      <c r="U421" s="38"/>
      <c r="V421" s="38"/>
    </row>
    <row r="422">
      <c r="A422" s="75">
        <v>46085.0</v>
      </c>
      <c r="B422" s="27" t="s">
        <v>135</v>
      </c>
      <c r="C422" s="27">
        <v>6.76544009023E11</v>
      </c>
      <c r="D422" s="28" t="s">
        <v>47</v>
      </c>
      <c r="E422" s="27">
        <v>1.0</v>
      </c>
      <c r="F422" s="109" t="s">
        <v>35</v>
      </c>
      <c r="G422" s="27" t="s">
        <v>35</v>
      </c>
      <c r="H422" s="28">
        <v>10096.0</v>
      </c>
      <c r="I422" s="30" t="str">
        <f t="shared" si="6"/>
        <v>10096-GSB-N/A</v>
      </c>
      <c r="J422" s="31" t="s">
        <v>772</v>
      </c>
      <c r="K422" s="27" t="s">
        <v>85</v>
      </c>
      <c r="L422" s="34">
        <v>46184.0</v>
      </c>
      <c r="M422" s="35" t="s">
        <v>139</v>
      </c>
      <c r="N422" s="2">
        <v>3145.0</v>
      </c>
      <c r="O422" s="36" t="s">
        <v>773</v>
      </c>
      <c r="P422" s="63">
        <v>46192.0</v>
      </c>
      <c r="Q422" s="38"/>
      <c r="R422" s="38"/>
      <c r="S422" s="38"/>
      <c r="T422" s="38"/>
      <c r="U422" s="38"/>
      <c r="V422" s="38"/>
    </row>
    <row r="423">
      <c r="A423" s="75">
        <v>46174.0</v>
      </c>
      <c r="B423" s="27">
        <v>10855.0</v>
      </c>
      <c r="C423" s="27" t="s">
        <v>35</v>
      </c>
      <c r="D423" s="28" t="s">
        <v>782</v>
      </c>
      <c r="E423" s="27">
        <v>1.0</v>
      </c>
      <c r="F423" s="109" t="s">
        <v>35</v>
      </c>
      <c r="G423" s="27" t="s">
        <v>35</v>
      </c>
      <c r="H423" s="28" t="s">
        <v>35</v>
      </c>
      <c r="I423" s="30" t="str">
        <f t="shared" si="6"/>
        <v>N/A-GSB-N/A</v>
      </c>
      <c r="J423" s="31" t="s">
        <v>772</v>
      </c>
      <c r="K423" s="27" t="s">
        <v>85</v>
      </c>
      <c r="L423" s="34">
        <v>46184.0</v>
      </c>
      <c r="M423" s="35" t="s">
        <v>139</v>
      </c>
      <c r="N423" s="2">
        <v>3145.0</v>
      </c>
      <c r="O423" s="36" t="s">
        <v>773</v>
      </c>
      <c r="P423" s="63">
        <v>46192.0</v>
      </c>
      <c r="Q423" s="38"/>
      <c r="R423" s="38"/>
      <c r="S423" s="38"/>
      <c r="T423" s="38"/>
      <c r="U423" s="38"/>
      <c r="V423" s="38"/>
    </row>
    <row r="424">
      <c r="A424" s="75">
        <v>46184.0</v>
      </c>
      <c r="B424" s="27" t="s">
        <v>621</v>
      </c>
      <c r="C424" s="27" t="s">
        <v>617</v>
      </c>
      <c r="D424" s="28" t="s">
        <v>8</v>
      </c>
      <c r="E424" s="27">
        <v>1.0</v>
      </c>
      <c r="F424" s="27" t="s">
        <v>830</v>
      </c>
      <c r="G424" s="109" t="s">
        <v>35</v>
      </c>
      <c r="H424" s="28">
        <v>10351.0</v>
      </c>
      <c r="I424" s="30" t="str">
        <f t="shared" ref="I424:I426" si="7">CONCATENATE(H424,"-","GSB","-",F424)</f>
        <v>10351-GSB-SDS/1043489</v>
      </c>
      <c r="J424" s="31" t="s">
        <v>772</v>
      </c>
      <c r="K424" s="27" t="s">
        <v>85</v>
      </c>
      <c r="L424" s="34">
        <v>46184.0</v>
      </c>
      <c r="M424" s="35" t="s">
        <v>139</v>
      </c>
      <c r="N424" s="2">
        <v>3145.0</v>
      </c>
      <c r="O424" s="36" t="s">
        <v>773</v>
      </c>
      <c r="P424" s="63">
        <v>46192.0</v>
      </c>
      <c r="Q424" s="38"/>
      <c r="R424" s="38"/>
      <c r="S424" s="38"/>
      <c r="T424" s="38"/>
      <c r="U424" s="38"/>
      <c r="V424" s="38"/>
    </row>
    <row r="425">
      <c r="A425" s="75">
        <v>46184.0</v>
      </c>
      <c r="B425" s="27" t="s">
        <v>621</v>
      </c>
      <c r="C425" s="27" t="s">
        <v>617</v>
      </c>
      <c r="D425" s="28" t="s">
        <v>8</v>
      </c>
      <c r="E425" s="27">
        <v>1.0</v>
      </c>
      <c r="F425" s="27" t="s">
        <v>831</v>
      </c>
      <c r="G425" s="109" t="s">
        <v>35</v>
      </c>
      <c r="H425" s="28">
        <v>10353.0</v>
      </c>
      <c r="I425" s="30" t="str">
        <f t="shared" si="7"/>
        <v>10353-GSB-SDS/1043494</v>
      </c>
      <c r="J425" s="31" t="s">
        <v>772</v>
      </c>
      <c r="K425" s="27" t="s">
        <v>85</v>
      </c>
      <c r="L425" s="34">
        <v>46184.0</v>
      </c>
      <c r="M425" s="35" t="s">
        <v>139</v>
      </c>
      <c r="N425" s="2">
        <v>3145.0</v>
      </c>
      <c r="O425" s="36" t="s">
        <v>773</v>
      </c>
      <c r="P425" s="63">
        <v>46192.0</v>
      </c>
      <c r="Q425" s="38"/>
      <c r="R425" s="38"/>
      <c r="S425" s="38"/>
      <c r="T425" s="38"/>
      <c r="U425" s="38"/>
      <c r="V425" s="38"/>
    </row>
    <row r="426">
      <c r="A426" s="75">
        <v>46184.0</v>
      </c>
      <c r="B426" s="27" t="s">
        <v>621</v>
      </c>
      <c r="C426" s="27" t="s">
        <v>617</v>
      </c>
      <c r="D426" s="28" t="s">
        <v>8</v>
      </c>
      <c r="E426" s="27">
        <v>1.0</v>
      </c>
      <c r="F426" s="27" t="s">
        <v>832</v>
      </c>
      <c r="G426" s="109" t="s">
        <v>35</v>
      </c>
      <c r="H426" s="28">
        <v>10352.0</v>
      </c>
      <c r="I426" s="30" t="str">
        <f t="shared" si="7"/>
        <v>10352-GSB-SDS/1043473</v>
      </c>
      <c r="J426" s="31" t="s">
        <v>772</v>
      </c>
      <c r="K426" s="27" t="s">
        <v>85</v>
      </c>
      <c r="L426" s="34">
        <v>46184.0</v>
      </c>
      <c r="M426" s="35" t="s">
        <v>139</v>
      </c>
      <c r="N426" s="2">
        <v>3145.0</v>
      </c>
      <c r="O426" s="36" t="s">
        <v>773</v>
      </c>
      <c r="P426" s="63">
        <v>46192.0</v>
      </c>
      <c r="Q426" s="38"/>
      <c r="R426" s="38"/>
      <c r="S426" s="38"/>
      <c r="T426" s="38"/>
      <c r="U426" s="38"/>
      <c r="V426" s="38"/>
    </row>
    <row r="427">
      <c r="A427" s="75">
        <v>46182.0</v>
      </c>
      <c r="B427" s="27" t="s">
        <v>503</v>
      </c>
      <c r="C427" s="27" t="s">
        <v>581</v>
      </c>
      <c r="D427" s="28" t="s">
        <v>50</v>
      </c>
      <c r="E427" s="27">
        <v>1.0</v>
      </c>
      <c r="F427" s="27"/>
      <c r="G427" s="27" t="s">
        <v>833</v>
      </c>
      <c r="H427" s="28">
        <v>10205.0</v>
      </c>
      <c r="I427" s="30" t="str">
        <f t="shared" ref="I427:I447" si="8">CONCATENATE(H427,"-","GSB","-",G427)</f>
        <v>10205-GSB-042164257814100128</v>
      </c>
      <c r="J427" s="31" t="s">
        <v>772</v>
      </c>
      <c r="K427" s="27" t="s">
        <v>85</v>
      </c>
      <c r="L427" s="34">
        <v>46184.0</v>
      </c>
      <c r="M427" s="35" t="s">
        <v>139</v>
      </c>
      <c r="N427" s="2">
        <v>3318.0</v>
      </c>
      <c r="O427" s="36" t="s">
        <v>834</v>
      </c>
      <c r="P427" s="63">
        <v>46265.0</v>
      </c>
      <c r="Q427" s="38"/>
      <c r="R427" s="38"/>
      <c r="S427" s="38"/>
      <c r="T427" s="38"/>
      <c r="U427" s="38"/>
      <c r="V427" s="38"/>
    </row>
    <row r="428">
      <c r="A428" s="75">
        <v>46182.0</v>
      </c>
      <c r="B428" s="27" t="s">
        <v>503</v>
      </c>
      <c r="C428" s="27" t="s">
        <v>581</v>
      </c>
      <c r="D428" s="28" t="s">
        <v>50</v>
      </c>
      <c r="E428" s="27">
        <v>1.0</v>
      </c>
      <c r="F428" s="27"/>
      <c r="G428" s="27" t="s">
        <v>835</v>
      </c>
      <c r="H428" s="92">
        <v>10206.0</v>
      </c>
      <c r="I428" s="97" t="str">
        <f t="shared" si="8"/>
        <v>10206-GSB-042164257814100208</v>
      </c>
      <c r="J428" s="31" t="s">
        <v>772</v>
      </c>
      <c r="K428" s="27" t="s">
        <v>85</v>
      </c>
      <c r="L428" s="34">
        <v>46184.0</v>
      </c>
      <c r="M428" s="35" t="s">
        <v>139</v>
      </c>
      <c r="N428" s="2"/>
      <c r="O428" s="51"/>
      <c r="P428" s="93"/>
      <c r="Q428" s="38"/>
      <c r="R428" s="38"/>
      <c r="S428" s="38"/>
      <c r="T428" s="38"/>
      <c r="U428" s="38"/>
      <c r="V428" s="38"/>
    </row>
    <row r="429">
      <c r="A429" s="75">
        <v>46182.0</v>
      </c>
      <c r="B429" s="27" t="s">
        <v>503</v>
      </c>
      <c r="C429" s="27" t="s">
        <v>581</v>
      </c>
      <c r="D429" s="28" t="s">
        <v>50</v>
      </c>
      <c r="E429" s="27">
        <v>1.0</v>
      </c>
      <c r="F429" s="27"/>
      <c r="G429" s="27" t="s">
        <v>836</v>
      </c>
      <c r="H429" s="28">
        <v>10211.0</v>
      </c>
      <c r="I429" s="30" t="str">
        <f t="shared" si="8"/>
        <v>10211-GSB-042164263916100880</v>
      </c>
      <c r="J429" s="31" t="s">
        <v>772</v>
      </c>
      <c r="K429" s="27" t="s">
        <v>85</v>
      </c>
      <c r="L429" s="34">
        <v>46184.0</v>
      </c>
      <c r="M429" s="35" t="s">
        <v>139</v>
      </c>
      <c r="N429" s="2"/>
      <c r="O429" s="51"/>
      <c r="P429" s="93"/>
      <c r="Q429" s="38"/>
      <c r="R429" s="38"/>
      <c r="S429" s="38"/>
      <c r="T429" s="38"/>
      <c r="U429" s="38"/>
      <c r="V429" s="38"/>
    </row>
    <row r="430">
      <c r="A430" s="75">
        <v>46182.0</v>
      </c>
      <c r="B430" s="27" t="s">
        <v>503</v>
      </c>
      <c r="C430" s="27" t="s">
        <v>581</v>
      </c>
      <c r="D430" s="28" t="s">
        <v>50</v>
      </c>
      <c r="E430" s="27">
        <v>1.0</v>
      </c>
      <c r="F430" s="27"/>
      <c r="G430" s="27" t="s">
        <v>837</v>
      </c>
      <c r="H430" s="28">
        <v>10212.0</v>
      </c>
      <c r="I430" s="30" t="str">
        <f t="shared" si="8"/>
        <v>10212-GSB-042164257814100181</v>
      </c>
      <c r="J430" s="31" t="s">
        <v>772</v>
      </c>
      <c r="K430" s="27" t="s">
        <v>85</v>
      </c>
      <c r="L430" s="34">
        <v>46184.0</v>
      </c>
      <c r="M430" s="35" t="s">
        <v>139</v>
      </c>
      <c r="N430" s="2">
        <v>3146.0</v>
      </c>
      <c r="O430" s="36" t="s">
        <v>773</v>
      </c>
      <c r="P430" s="63">
        <v>46192.0</v>
      </c>
      <c r="Q430" s="38"/>
      <c r="R430" s="38"/>
      <c r="S430" s="38"/>
      <c r="T430" s="38"/>
      <c r="U430" s="38"/>
      <c r="V430" s="38"/>
    </row>
    <row r="431">
      <c r="A431" s="75">
        <v>46182.0</v>
      </c>
      <c r="B431" s="27" t="s">
        <v>503</v>
      </c>
      <c r="C431" s="27" t="s">
        <v>581</v>
      </c>
      <c r="D431" s="28" t="s">
        <v>50</v>
      </c>
      <c r="E431" s="27">
        <v>1.0</v>
      </c>
      <c r="F431" s="27"/>
      <c r="G431" s="27" t="s">
        <v>838</v>
      </c>
      <c r="H431" s="28">
        <v>10215.0</v>
      </c>
      <c r="I431" s="30" t="str">
        <f t="shared" si="8"/>
        <v>10215-GSB-042164263916100022</v>
      </c>
      <c r="J431" s="31" t="s">
        <v>772</v>
      </c>
      <c r="K431" s="27" t="s">
        <v>85</v>
      </c>
      <c r="L431" s="34">
        <v>46184.0</v>
      </c>
      <c r="M431" s="35" t="s">
        <v>139</v>
      </c>
      <c r="N431" s="2">
        <v>3146.0</v>
      </c>
      <c r="O431" s="36" t="s">
        <v>773</v>
      </c>
      <c r="P431" s="63">
        <v>46192.0</v>
      </c>
      <c r="Q431" s="38"/>
      <c r="R431" s="38"/>
      <c r="S431" s="38"/>
      <c r="T431" s="38"/>
      <c r="U431" s="38"/>
      <c r="V431" s="38"/>
    </row>
    <row r="432">
      <c r="A432" s="75">
        <v>46182.0</v>
      </c>
      <c r="B432" s="27" t="s">
        <v>503</v>
      </c>
      <c r="C432" s="27" t="s">
        <v>581</v>
      </c>
      <c r="D432" s="28" t="s">
        <v>50</v>
      </c>
      <c r="E432" s="27">
        <v>1.0</v>
      </c>
      <c r="F432" s="27"/>
      <c r="G432" s="27" t="s">
        <v>839</v>
      </c>
      <c r="H432" s="28">
        <v>10216.0</v>
      </c>
      <c r="I432" s="30" t="str">
        <f t="shared" si="8"/>
        <v>10216-GSB-042164263916100737</v>
      </c>
      <c r="J432" s="31" t="s">
        <v>772</v>
      </c>
      <c r="K432" s="27" t="s">
        <v>85</v>
      </c>
      <c r="L432" s="34">
        <v>46184.0</v>
      </c>
      <c r="M432" s="35" t="s">
        <v>139</v>
      </c>
      <c r="N432" s="2">
        <v>3146.0</v>
      </c>
      <c r="O432" s="36" t="s">
        <v>773</v>
      </c>
      <c r="P432" s="63">
        <v>46192.0</v>
      </c>
      <c r="Q432" s="38"/>
      <c r="R432" s="38"/>
      <c r="S432" s="38"/>
      <c r="T432" s="38"/>
      <c r="U432" s="38"/>
      <c r="V432" s="38"/>
    </row>
    <row r="433">
      <c r="A433" s="75">
        <v>46182.0</v>
      </c>
      <c r="B433" s="27" t="s">
        <v>503</v>
      </c>
      <c r="C433" s="27" t="s">
        <v>581</v>
      </c>
      <c r="D433" s="28" t="s">
        <v>50</v>
      </c>
      <c r="E433" s="27">
        <v>1.0</v>
      </c>
      <c r="F433" s="27"/>
      <c r="G433" s="27" t="s">
        <v>840</v>
      </c>
      <c r="H433" s="28">
        <v>10217.0</v>
      </c>
      <c r="I433" s="30" t="str">
        <f t="shared" si="8"/>
        <v>10217-GSB-042164263916100884</v>
      </c>
      <c r="J433" s="31" t="s">
        <v>772</v>
      </c>
      <c r="K433" s="27" t="s">
        <v>85</v>
      </c>
      <c r="L433" s="34">
        <v>46184.0</v>
      </c>
      <c r="M433" s="35" t="s">
        <v>139</v>
      </c>
      <c r="N433" s="2">
        <v>3146.0</v>
      </c>
      <c r="O433" s="36" t="s">
        <v>773</v>
      </c>
      <c r="P433" s="63">
        <v>46192.0</v>
      </c>
      <c r="Q433" s="38"/>
      <c r="R433" s="38"/>
      <c r="S433" s="38"/>
      <c r="T433" s="38"/>
      <c r="U433" s="38"/>
      <c r="V433" s="38"/>
    </row>
    <row r="434">
      <c r="A434" s="75">
        <v>46182.0</v>
      </c>
      <c r="B434" s="27" t="s">
        <v>503</v>
      </c>
      <c r="C434" s="27" t="s">
        <v>581</v>
      </c>
      <c r="D434" s="28" t="s">
        <v>50</v>
      </c>
      <c r="E434" s="27">
        <v>1.0</v>
      </c>
      <c r="F434" s="27"/>
      <c r="G434" s="27" t="s">
        <v>841</v>
      </c>
      <c r="H434" s="28">
        <v>10229.0</v>
      </c>
      <c r="I434" s="30" t="str">
        <f t="shared" si="8"/>
        <v>10229-GSB-042163647815100164</v>
      </c>
      <c r="J434" s="31" t="s">
        <v>772</v>
      </c>
      <c r="K434" s="27" t="s">
        <v>85</v>
      </c>
      <c r="L434" s="34">
        <v>46184.0</v>
      </c>
      <c r="M434" s="35" t="s">
        <v>139</v>
      </c>
      <c r="N434" s="2">
        <v>3146.0</v>
      </c>
      <c r="O434" s="36" t="s">
        <v>773</v>
      </c>
      <c r="P434" s="63">
        <v>46192.0</v>
      </c>
      <c r="Q434" s="38"/>
      <c r="R434" s="38"/>
      <c r="S434" s="38"/>
      <c r="T434" s="38"/>
      <c r="U434" s="38"/>
      <c r="V434" s="38"/>
    </row>
    <row r="435">
      <c r="A435" s="23">
        <v>45897.0</v>
      </c>
      <c r="B435" s="25">
        <v>2.093501849E9</v>
      </c>
      <c r="C435" s="27" t="s">
        <v>342</v>
      </c>
      <c r="D435" s="28" t="s">
        <v>51</v>
      </c>
      <c r="E435" s="27">
        <v>1.0</v>
      </c>
      <c r="F435" s="109" t="s">
        <v>35</v>
      </c>
      <c r="G435" s="27" t="s">
        <v>842</v>
      </c>
      <c r="H435" s="28">
        <v>1348.0</v>
      </c>
      <c r="I435" s="30" t="str">
        <f t="shared" si="8"/>
        <v>1348-GSB-042239847329100104</v>
      </c>
      <c r="J435" s="31" t="s">
        <v>772</v>
      </c>
      <c r="K435" s="27" t="s">
        <v>85</v>
      </c>
      <c r="L435" s="34">
        <v>46184.0</v>
      </c>
      <c r="M435" s="35" t="s">
        <v>139</v>
      </c>
      <c r="N435" s="2">
        <v>3145.0</v>
      </c>
      <c r="O435" s="36" t="s">
        <v>773</v>
      </c>
      <c r="P435" s="63">
        <v>46192.0</v>
      </c>
      <c r="Q435" s="38"/>
      <c r="R435" s="38"/>
      <c r="S435" s="38"/>
      <c r="T435" s="38"/>
      <c r="U435" s="38"/>
      <c r="V435" s="38"/>
    </row>
    <row r="436">
      <c r="A436" s="75">
        <v>46174.0</v>
      </c>
      <c r="B436" s="27" t="s">
        <v>843</v>
      </c>
      <c r="C436" s="27" t="s">
        <v>327</v>
      </c>
      <c r="D436" s="70" t="s">
        <v>328</v>
      </c>
      <c r="E436" s="27">
        <v>1.0</v>
      </c>
      <c r="F436" s="27"/>
      <c r="G436" s="27" t="s">
        <v>844</v>
      </c>
      <c r="H436" s="28">
        <v>5858.0</v>
      </c>
      <c r="I436" s="30" t="str">
        <f t="shared" si="8"/>
        <v>5858-GSB-042239647815100196</v>
      </c>
      <c r="J436" s="31" t="s">
        <v>772</v>
      </c>
      <c r="K436" s="27" t="s">
        <v>85</v>
      </c>
      <c r="L436" s="34">
        <v>46184.0</v>
      </c>
      <c r="M436" s="35" t="s">
        <v>139</v>
      </c>
      <c r="N436" s="2">
        <v>3146.0</v>
      </c>
      <c r="O436" s="36" t="s">
        <v>773</v>
      </c>
      <c r="P436" s="63">
        <v>46192.0</v>
      </c>
      <c r="Q436" s="38"/>
      <c r="R436" s="38"/>
      <c r="S436" s="38"/>
      <c r="T436" s="38"/>
      <c r="U436" s="38"/>
      <c r="V436" s="38"/>
    </row>
    <row r="437">
      <c r="A437" s="75">
        <v>46174.0</v>
      </c>
      <c r="B437" s="27" t="s">
        <v>845</v>
      </c>
      <c r="C437" s="27" t="s">
        <v>327</v>
      </c>
      <c r="D437" s="70" t="s">
        <v>328</v>
      </c>
      <c r="E437" s="27">
        <v>1.0</v>
      </c>
      <c r="F437" s="27"/>
      <c r="G437" s="27" t="s">
        <v>846</v>
      </c>
      <c r="H437" s="28">
        <v>4133.0</v>
      </c>
      <c r="I437" s="30" t="str">
        <f t="shared" si="8"/>
        <v>4133-GSB-042239647704100202</v>
      </c>
      <c r="J437" s="31" t="s">
        <v>772</v>
      </c>
      <c r="K437" s="27" t="s">
        <v>85</v>
      </c>
      <c r="L437" s="34">
        <v>46184.0</v>
      </c>
      <c r="M437" s="35" t="s">
        <v>139</v>
      </c>
      <c r="N437" s="2">
        <v>3146.0</v>
      </c>
      <c r="O437" s="36" t="s">
        <v>773</v>
      </c>
      <c r="P437" s="63">
        <v>46192.0</v>
      </c>
      <c r="Q437" s="38"/>
      <c r="R437" s="38"/>
      <c r="S437" s="38"/>
      <c r="T437" s="38"/>
      <c r="U437" s="38"/>
      <c r="V437" s="38"/>
    </row>
    <row r="438">
      <c r="A438" s="75">
        <v>46174.0</v>
      </c>
      <c r="B438" s="27" t="s">
        <v>35</v>
      </c>
      <c r="C438" s="27" t="s">
        <v>327</v>
      </c>
      <c r="D438" s="70" t="s">
        <v>328</v>
      </c>
      <c r="E438" s="27">
        <v>1.0</v>
      </c>
      <c r="F438" s="27"/>
      <c r="G438" s="27" t="s">
        <v>847</v>
      </c>
      <c r="H438" s="28">
        <v>10191.0</v>
      </c>
      <c r="I438" s="30" t="str">
        <f t="shared" si="8"/>
        <v>10191-GSB-042239628029100245</v>
      </c>
      <c r="J438" s="31" t="s">
        <v>772</v>
      </c>
      <c r="K438" s="27" t="s">
        <v>85</v>
      </c>
      <c r="L438" s="34">
        <v>46184.0</v>
      </c>
      <c r="M438" s="35" t="s">
        <v>139</v>
      </c>
      <c r="N438" s="2">
        <v>3146.0</v>
      </c>
      <c r="O438" s="36" t="s">
        <v>773</v>
      </c>
      <c r="P438" s="63">
        <v>46192.0</v>
      </c>
      <c r="Q438" s="38"/>
      <c r="R438" s="38"/>
      <c r="S438" s="38"/>
      <c r="T438" s="38"/>
      <c r="U438" s="38"/>
      <c r="V438" s="38"/>
    </row>
    <row r="439">
      <c r="A439" s="110">
        <v>46174.0</v>
      </c>
      <c r="B439" s="111" t="s">
        <v>848</v>
      </c>
      <c r="C439" s="111" t="s">
        <v>327</v>
      </c>
      <c r="D439" s="118" t="s">
        <v>328</v>
      </c>
      <c r="E439" s="111">
        <v>1.0</v>
      </c>
      <c r="F439" s="111"/>
      <c r="G439" s="111" t="s">
        <v>849</v>
      </c>
      <c r="H439" s="112">
        <v>10192.0</v>
      </c>
      <c r="I439" s="114" t="str">
        <f t="shared" si="8"/>
        <v>10192-GSB-042239647322100384</v>
      </c>
      <c r="J439" s="115" t="s">
        <v>772</v>
      </c>
      <c r="K439" s="111" t="s">
        <v>85</v>
      </c>
      <c r="L439" s="116">
        <v>46184.0</v>
      </c>
      <c r="M439" s="117" t="s">
        <v>139</v>
      </c>
      <c r="N439" s="106" t="s">
        <v>829</v>
      </c>
      <c r="O439" s="106" t="s">
        <v>829</v>
      </c>
      <c r="P439" s="106" t="s">
        <v>829</v>
      </c>
      <c r="Q439" s="38"/>
      <c r="R439" s="38"/>
      <c r="S439" s="38"/>
      <c r="T439" s="38"/>
      <c r="U439" s="38"/>
      <c r="V439" s="38"/>
    </row>
    <row r="440">
      <c r="A440" s="75">
        <v>46174.0</v>
      </c>
      <c r="B440" s="27" t="s">
        <v>850</v>
      </c>
      <c r="C440" s="27" t="s">
        <v>327</v>
      </c>
      <c r="D440" s="70" t="s">
        <v>328</v>
      </c>
      <c r="E440" s="27">
        <v>1.0</v>
      </c>
      <c r="F440" s="27"/>
      <c r="G440" s="27" t="s">
        <v>851</v>
      </c>
      <c r="H440" s="28">
        <v>10193.0</v>
      </c>
      <c r="I440" s="30" t="str">
        <f t="shared" si="8"/>
        <v>10193-GSB-042239647327100174</v>
      </c>
      <c r="J440" s="31" t="s">
        <v>772</v>
      </c>
      <c r="K440" s="27" t="s">
        <v>85</v>
      </c>
      <c r="L440" s="34">
        <v>46184.0</v>
      </c>
      <c r="M440" s="35" t="s">
        <v>139</v>
      </c>
      <c r="N440" s="2">
        <v>3146.0</v>
      </c>
      <c r="O440" s="36" t="s">
        <v>773</v>
      </c>
      <c r="P440" s="63">
        <v>46192.0</v>
      </c>
      <c r="Q440" s="38"/>
      <c r="R440" s="38"/>
      <c r="S440" s="38"/>
      <c r="T440" s="38"/>
      <c r="U440" s="38"/>
      <c r="V440" s="38"/>
    </row>
    <row r="441">
      <c r="A441" s="75">
        <v>46174.0</v>
      </c>
      <c r="B441" s="27" t="s">
        <v>852</v>
      </c>
      <c r="C441" s="27" t="s">
        <v>327</v>
      </c>
      <c r="D441" s="70" t="s">
        <v>328</v>
      </c>
      <c r="E441" s="27">
        <v>1.0</v>
      </c>
      <c r="F441" s="27"/>
      <c r="G441" s="27" t="s">
        <v>853</v>
      </c>
      <c r="H441" s="28">
        <v>5466.0</v>
      </c>
      <c r="I441" s="30" t="str">
        <f t="shared" si="8"/>
        <v>5466-GSB-042239647712100178</v>
      </c>
      <c r="J441" s="31" t="s">
        <v>772</v>
      </c>
      <c r="K441" s="27" t="s">
        <v>85</v>
      </c>
      <c r="L441" s="34">
        <v>46184.0</v>
      </c>
      <c r="M441" s="35" t="s">
        <v>139</v>
      </c>
      <c r="N441" s="2">
        <v>3146.0</v>
      </c>
      <c r="O441" s="36" t="s">
        <v>773</v>
      </c>
      <c r="P441" s="63">
        <v>46192.0</v>
      </c>
      <c r="Q441" s="38"/>
      <c r="R441" s="38"/>
      <c r="S441" s="38"/>
      <c r="T441" s="38"/>
      <c r="U441" s="38"/>
      <c r="V441" s="38"/>
    </row>
    <row r="442">
      <c r="A442" s="75">
        <v>46149.0</v>
      </c>
      <c r="B442" s="25">
        <v>2.093501849E9</v>
      </c>
      <c r="C442" s="25" t="s">
        <v>327</v>
      </c>
      <c r="D442" s="70" t="s">
        <v>328</v>
      </c>
      <c r="E442" s="25">
        <v>1.0</v>
      </c>
      <c r="F442" s="27"/>
      <c r="G442" s="27" t="s">
        <v>331</v>
      </c>
      <c r="H442" s="28">
        <v>10175.0</v>
      </c>
      <c r="I442" s="70" t="str">
        <f t="shared" si="8"/>
        <v>10175-GSB-042239657406100348</v>
      </c>
      <c r="J442" s="31" t="s">
        <v>772</v>
      </c>
      <c r="K442" s="27" t="s">
        <v>85</v>
      </c>
      <c r="L442" s="34">
        <v>46184.0</v>
      </c>
      <c r="M442" s="35" t="s">
        <v>139</v>
      </c>
      <c r="N442" s="2">
        <v>3146.0</v>
      </c>
      <c r="O442" s="36" t="s">
        <v>773</v>
      </c>
      <c r="P442" s="63">
        <v>46192.0</v>
      </c>
      <c r="Q442" s="38"/>
      <c r="R442" s="38"/>
      <c r="S442" s="38"/>
      <c r="T442" s="38"/>
      <c r="U442" s="38"/>
      <c r="V442" s="38"/>
    </row>
    <row r="443">
      <c r="A443" s="75">
        <v>46132.0</v>
      </c>
      <c r="B443" s="27" t="s">
        <v>35</v>
      </c>
      <c r="C443" s="27" t="s">
        <v>257</v>
      </c>
      <c r="D443" s="28" t="s">
        <v>57</v>
      </c>
      <c r="E443" s="27">
        <v>1.0</v>
      </c>
      <c r="F443" s="109" t="s">
        <v>35</v>
      </c>
      <c r="G443" s="27" t="s">
        <v>35</v>
      </c>
      <c r="H443" s="28">
        <v>5537.0</v>
      </c>
      <c r="I443" s="30" t="str">
        <f t="shared" si="8"/>
        <v>5537-GSB-N/A</v>
      </c>
      <c r="J443" s="31" t="s">
        <v>772</v>
      </c>
      <c r="K443" s="27" t="s">
        <v>85</v>
      </c>
      <c r="L443" s="34">
        <v>46184.0</v>
      </c>
      <c r="M443" s="35" t="s">
        <v>139</v>
      </c>
      <c r="N443" s="2">
        <v>3145.0</v>
      </c>
      <c r="O443" s="36" t="s">
        <v>773</v>
      </c>
      <c r="P443" s="63">
        <v>46192.0</v>
      </c>
      <c r="Q443" s="38"/>
      <c r="R443" s="38"/>
      <c r="S443" s="38"/>
      <c r="T443" s="38"/>
      <c r="U443" s="38"/>
      <c r="V443" s="38"/>
    </row>
    <row r="444">
      <c r="A444" s="23">
        <v>45897.0</v>
      </c>
      <c r="B444" s="25">
        <v>2.093501849E9</v>
      </c>
      <c r="C444" s="27" t="s">
        <v>352</v>
      </c>
      <c r="D444" s="28" t="s">
        <v>59</v>
      </c>
      <c r="E444" s="27">
        <v>1.0</v>
      </c>
      <c r="F444" s="27"/>
      <c r="G444" s="27" t="s">
        <v>854</v>
      </c>
      <c r="H444" s="28">
        <v>4348.0</v>
      </c>
      <c r="I444" s="30" t="str">
        <f t="shared" si="8"/>
        <v>4348-GSB-042186047630100120</v>
      </c>
      <c r="J444" s="31" t="s">
        <v>772</v>
      </c>
      <c r="K444" s="27" t="s">
        <v>85</v>
      </c>
      <c r="L444" s="34">
        <v>46184.0</v>
      </c>
      <c r="M444" s="35" t="s">
        <v>139</v>
      </c>
      <c r="N444" s="2">
        <v>3145.0</v>
      </c>
      <c r="O444" s="36" t="s">
        <v>773</v>
      </c>
      <c r="P444" s="63">
        <v>46192.0</v>
      </c>
      <c r="Q444" s="38"/>
      <c r="R444" s="38"/>
      <c r="S444" s="38"/>
      <c r="T444" s="38"/>
      <c r="U444" s="38"/>
      <c r="V444" s="38"/>
    </row>
    <row r="445">
      <c r="A445" s="23">
        <v>45897.0</v>
      </c>
      <c r="B445" s="25">
        <v>2.093501849E9</v>
      </c>
      <c r="C445" s="27" t="s">
        <v>352</v>
      </c>
      <c r="D445" s="28" t="s">
        <v>59</v>
      </c>
      <c r="E445" s="27">
        <v>1.0</v>
      </c>
      <c r="F445" s="27"/>
      <c r="G445" s="27" t="s">
        <v>855</v>
      </c>
      <c r="H445" s="28">
        <v>4288.0</v>
      </c>
      <c r="I445" s="30" t="str">
        <f t="shared" si="8"/>
        <v>4288-GSB-042186047630100127</v>
      </c>
      <c r="J445" s="31" t="s">
        <v>772</v>
      </c>
      <c r="K445" s="27" t="s">
        <v>85</v>
      </c>
      <c r="L445" s="34">
        <v>46184.0</v>
      </c>
      <c r="M445" s="35" t="s">
        <v>139</v>
      </c>
      <c r="N445" s="2">
        <v>3145.0</v>
      </c>
      <c r="O445" s="36" t="s">
        <v>773</v>
      </c>
      <c r="P445" s="63">
        <v>46192.0</v>
      </c>
      <c r="Q445" s="38"/>
      <c r="R445" s="38"/>
      <c r="S445" s="38"/>
      <c r="T445" s="38"/>
      <c r="U445" s="38"/>
      <c r="V445" s="38"/>
    </row>
    <row r="446">
      <c r="A446" s="75">
        <v>46184.0</v>
      </c>
      <c r="B446" s="27" t="s">
        <v>35</v>
      </c>
      <c r="C446" s="27" t="s">
        <v>35</v>
      </c>
      <c r="D446" s="28" t="s">
        <v>333</v>
      </c>
      <c r="E446" s="27">
        <v>1.0</v>
      </c>
      <c r="F446" s="109" t="s">
        <v>35</v>
      </c>
      <c r="G446" s="27" t="s">
        <v>35</v>
      </c>
      <c r="H446" s="28">
        <v>10252.0</v>
      </c>
      <c r="I446" s="30" t="str">
        <f t="shared" si="8"/>
        <v>10252-GSB-N/A</v>
      </c>
      <c r="J446" s="31" t="s">
        <v>772</v>
      </c>
      <c r="K446" s="27" t="s">
        <v>85</v>
      </c>
      <c r="L446" s="34">
        <v>46184.0</v>
      </c>
      <c r="M446" s="35" t="s">
        <v>139</v>
      </c>
      <c r="N446" s="2">
        <v>3145.0</v>
      </c>
      <c r="O446" s="36" t="s">
        <v>773</v>
      </c>
      <c r="P446" s="63">
        <v>46192.0</v>
      </c>
      <c r="Q446" s="38"/>
      <c r="R446" s="38"/>
      <c r="S446" s="38"/>
      <c r="T446" s="38"/>
      <c r="U446" s="38"/>
      <c r="V446" s="38"/>
    </row>
    <row r="447">
      <c r="A447" s="75">
        <v>46142.0</v>
      </c>
      <c r="B447" s="27" t="s">
        <v>35</v>
      </c>
      <c r="C447" s="27" t="s">
        <v>35</v>
      </c>
      <c r="D447" s="28" t="s">
        <v>64</v>
      </c>
      <c r="E447" s="27">
        <v>1.0</v>
      </c>
      <c r="F447" s="27"/>
      <c r="G447" s="27" t="s">
        <v>35</v>
      </c>
      <c r="H447" s="28">
        <v>9095.0</v>
      </c>
      <c r="I447" s="30" t="str">
        <f t="shared" si="8"/>
        <v>9095-GSB-N/A</v>
      </c>
      <c r="J447" s="31" t="s">
        <v>772</v>
      </c>
      <c r="K447" s="27" t="s">
        <v>85</v>
      </c>
      <c r="L447" s="34">
        <v>46184.0</v>
      </c>
      <c r="M447" s="35" t="s">
        <v>139</v>
      </c>
      <c r="N447" s="2">
        <v>3145.0</v>
      </c>
      <c r="O447" s="36" t="s">
        <v>773</v>
      </c>
      <c r="P447" s="63">
        <v>46192.0</v>
      </c>
      <c r="Q447" s="38"/>
      <c r="R447" s="38"/>
      <c r="S447" s="38"/>
      <c r="T447" s="38"/>
      <c r="U447" s="38"/>
      <c r="V447" s="38"/>
    </row>
    <row r="448">
      <c r="A448" s="27" t="s">
        <v>654</v>
      </c>
      <c r="B448" s="27" t="s">
        <v>655</v>
      </c>
      <c r="C448" s="27" t="s">
        <v>129</v>
      </c>
      <c r="D448" s="28" t="s">
        <v>61</v>
      </c>
      <c r="E448" s="27">
        <v>1.0</v>
      </c>
      <c r="F448" s="27" t="s">
        <v>856</v>
      </c>
      <c r="G448" s="109" t="s">
        <v>35</v>
      </c>
      <c r="H448" s="28">
        <v>10268.0</v>
      </c>
      <c r="I448" s="30" t="str">
        <f t="shared" ref="I448:I457" si="9">CONCATENATE(H448,"-","GSB","-",F448)</f>
        <v>10268-GSB-SDS/1043549</v>
      </c>
      <c r="J448" s="31" t="s">
        <v>772</v>
      </c>
      <c r="K448" s="27" t="s">
        <v>85</v>
      </c>
      <c r="L448" s="34">
        <v>46184.0</v>
      </c>
      <c r="M448" s="35" t="s">
        <v>139</v>
      </c>
      <c r="N448" s="2">
        <v>3146.0</v>
      </c>
      <c r="O448" s="36" t="s">
        <v>773</v>
      </c>
      <c r="P448" s="63">
        <v>46192.0</v>
      </c>
      <c r="Q448" s="38"/>
      <c r="R448" s="38"/>
      <c r="S448" s="38"/>
      <c r="T448" s="38"/>
      <c r="U448" s="38"/>
      <c r="V448" s="38"/>
    </row>
    <row r="449">
      <c r="A449" s="27" t="s">
        <v>654</v>
      </c>
      <c r="B449" s="27" t="s">
        <v>655</v>
      </c>
      <c r="C449" s="27" t="s">
        <v>129</v>
      </c>
      <c r="D449" s="28" t="s">
        <v>61</v>
      </c>
      <c r="E449" s="27">
        <v>1.0</v>
      </c>
      <c r="F449" s="27" t="s">
        <v>857</v>
      </c>
      <c r="G449" s="109" t="s">
        <v>35</v>
      </c>
      <c r="H449" s="28">
        <v>10265.0</v>
      </c>
      <c r="I449" s="30" t="str">
        <f t="shared" si="9"/>
        <v>10265-GSB-SDS/1043557</v>
      </c>
      <c r="J449" s="31" t="s">
        <v>772</v>
      </c>
      <c r="K449" s="27" t="s">
        <v>85</v>
      </c>
      <c r="L449" s="34">
        <v>46184.0</v>
      </c>
      <c r="M449" s="35" t="s">
        <v>139</v>
      </c>
      <c r="N449" s="2"/>
      <c r="O449" s="51"/>
      <c r="P449" s="93"/>
      <c r="Q449" s="38"/>
      <c r="R449" s="38"/>
      <c r="S449" s="38"/>
      <c r="T449" s="38"/>
      <c r="U449" s="38"/>
      <c r="V449" s="38"/>
    </row>
    <row r="450">
      <c r="A450" s="27" t="s">
        <v>654</v>
      </c>
      <c r="B450" s="27" t="s">
        <v>655</v>
      </c>
      <c r="C450" s="27" t="s">
        <v>129</v>
      </c>
      <c r="D450" s="28" t="s">
        <v>61</v>
      </c>
      <c r="E450" s="27">
        <v>1.0</v>
      </c>
      <c r="F450" s="27" t="s">
        <v>858</v>
      </c>
      <c r="G450" s="109" t="s">
        <v>35</v>
      </c>
      <c r="H450" s="28">
        <v>10266.0</v>
      </c>
      <c r="I450" s="30" t="str">
        <f t="shared" si="9"/>
        <v>10266-GSB-SDS/1043541</v>
      </c>
      <c r="J450" s="31" t="s">
        <v>772</v>
      </c>
      <c r="K450" s="27" t="s">
        <v>85</v>
      </c>
      <c r="L450" s="34">
        <v>46184.0</v>
      </c>
      <c r="M450" s="35" t="s">
        <v>139</v>
      </c>
      <c r="N450" s="2">
        <v>3311.0</v>
      </c>
      <c r="O450" s="36" t="s">
        <v>800</v>
      </c>
      <c r="P450" s="63">
        <v>47349.0</v>
      </c>
      <c r="Q450" s="38"/>
      <c r="R450" s="38"/>
      <c r="S450" s="38"/>
      <c r="T450" s="38"/>
      <c r="U450" s="38"/>
      <c r="V450" s="38"/>
    </row>
    <row r="451">
      <c r="A451" s="27" t="s">
        <v>654</v>
      </c>
      <c r="B451" s="27" t="s">
        <v>655</v>
      </c>
      <c r="C451" s="27" t="s">
        <v>129</v>
      </c>
      <c r="D451" s="28" t="s">
        <v>61</v>
      </c>
      <c r="E451" s="27">
        <v>1.0</v>
      </c>
      <c r="F451" s="27" t="s">
        <v>859</v>
      </c>
      <c r="G451" s="109" t="s">
        <v>35</v>
      </c>
      <c r="H451" s="28">
        <v>10271.0</v>
      </c>
      <c r="I451" s="30" t="str">
        <f t="shared" si="9"/>
        <v>10271-GSB-SDS/1043535</v>
      </c>
      <c r="J451" s="31" t="s">
        <v>772</v>
      </c>
      <c r="K451" s="27" t="s">
        <v>85</v>
      </c>
      <c r="L451" s="34">
        <v>46184.0</v>
      </c>
      <c r="M451" s="35" t="s">
        <v>139</v>
      </c>
      <c r="N451" s="2"/>
      <c r="O451" s="51"/>
      <c r="P451" s="93"/>
      <c r="Q451" s="38"/>
      <c r="R451" s="38"/>
      <c r="S451" s="38"/>
      <c r="T451" s="38"/>
      <c r="U451" s="38"/>
      <c r="V451" s="38"/>
    </row>
    <row r="452">
      <c r="A452" s="27" t="s">
        <v>654</v>
      </c>
      <c r="B452" s="27" t="s">
        <v>655</v>
      </c>
      <c r="C452" s="27" t="s">
        <v>129</v>
      </c>
      <c r="D452" s="28" t="s">
        <v>61</v>
      </c>
      <c r="E452" s="27">
        <v>1.0</v>
      </c>
      <c r="F452" s="27" t="s">
        <v>860</v>
      </c>
      <c r="G452" s="109" t="s">
        <v>35</v>
      </c>
      <c r="H452" s="28">
        <v>10272.0</v>
      </c>
      <c r="I452" s="30" t="str">
        <f t="shared" si="9"/>
        <v>10272-GSB-SDS/1043551</v>
      </c>
      <c r="J452" s="31" t="s">
        <v>772</v>
      </c>
      <c r="K452" s="27" t="s">
        <v>85</v>
      </c>
      <c r="L452" s="34">
        <v>46184.0</v>
      </c>
      <c r="M452" s="35" t="s">
        <v>139</v>
      </c>
      <c r="N452" s="2"/>
      <c r="O452" s="51"/>
      <c r="P452" s="93"/>
      <c r="Q452" s="38"/>
      <c r="R452" s="38"/>
      <c r="S452" s="38"/>
      <c r="T452" s="38"/>
      <c r="U452" s="38"/>
      <c r="V452" s="38"/>
    </row>
    <row r="453">
      <c r="A453" s="27" t="s">
        <v>654</v>
      </c>
      <c r="B453" s="27" t="s">
        <v>655</v>
      </c>
      <c r="C453" s="27" t="s">
        <v>129</v>
      </c>
      <c r="D453" s="28" t="s">
        <v>61</v>
      </c>
      <c r="E453" s="27">
        <v>1.0</v>
      </c>
      <c r="F453" s="27" t="s">
        <v>861</v>
      </c>
      <c r="G453" s="109" t="s">
        <v>35</v>
      </c>
      <c r="H453" s="28">
        <v>10269.0</v>
      </c>
      <c r="I453" s="30" t="str">
        <f t="shared" si="9"/>
        <v>10269-GSB-SDS/1043543</v>
      </c>
      <c r="J453" s="31" t="s">
        <v>772</v>
      </c>
      <c r="K453" s="27" t="s">
        <v>85</v>
      </c>
      <c r="L453" s="34">
        <v>46184.0</v>
      </c>
      <c r="M453" s="35" t="s">
        <v>139</v>
      </c>
      <c r="N453" s="2">
        <v>3146.0</v>
      </c>
      <c r="O453" s="36" t="s">
        <v>773</v>
      </c>
      <c r="P453" s="63">
        <v>46192.0</v>
      </c>
      <c r="Q453" s="38"/>
      <c r="R453" s="38"/>
      <c r="S453" s="38"/>
      <c r="T453" s="38"/>
      <c r="U453" s="38"/>
      <c r="V453" s="38"/>
    </row>
    <row r="454">
      <c r="A454" s="27" t="s">
        <v>654</v>
      </c>
      <c r="B454" s="27" t="s">
        <v>655</v>
      </c>
      <c r="C454" s="27" t="s">
        <v>129</v>
      </c>
      <c r="D454" s="28" t="s">
        <v>61</v>
      </c>
      <c r="E454" s="27">
        <v>1.0</v>
      </c>
      <c r="F454" s="27" t="s">
        <v>862</v>
      </c>
      <c r="G454" s="109" t="s">
        <v>35</v>
      </c>
      <c r="H454" s="28">
        <v>10270.0</v>
      </c>
      <c r="I454" s="30" t="str">
        <f t="shared" si="9"/>
        <v>10270-GSB-SDS/1043555</v>
      </c>
      <c r="J454" s="31" t="s">
        <v>772</v>
      </c>
      <c r="K454" s="27" t="s">
        <v>85</v>
      </c>
      <c r="L454" s="34">
        <v>46184.0</v>
      </c>
      <c r="M454" s="35" t="s">
        <v>139</v>
      </c>
      <c r="N454" s="2">
        <v>3146.0</v>
      </c>
      <c r="O454" s="36" t="s">
        <v>773</v>
      </c>
      <c r="P454" s="63">
        <v>46192.0</v>
      </c>
      <c r="Q454" s="38"/>
      <c r="R454" s="38"/>
      <c r="S454" s="38"/>
      <c r="T454" s="38"/>
      <c r="U454" s="38"/>
      <c r="V454" s="38"/>
    </row>
    <row r="455">
      <c r="A455" s="27" t="s">
        <v>654</v>
      </c>
      <c r="B455" s="27" t="s">
        <v>655</v>
      </c>
      <c r="C455" s="27" t="s">
        <v>129</v>
      </c>
      <c r="D455" s="28" t="s">
        <v>61</v>
      </c>
      <c r="E455" s="27">
        <v>1.0</v>
      </c>
      <c r="F455" s="27" t="s">
        <v>863</v>
      </c>
      <c r="G455" s="109" t="s">
        <v>35</v>
      </c>
      <c r="H455" s="28">
        <v>10273.0</v>
      </c>
      <c r="I455" s="30" t="str">
        <f t="shared" si="9"/>
        <v>10273-GSB-SDS/1043547</v>
      </c>
      <c r="J455" s="31" t="s">
        <v>772</v>
      </c>
      <c r="K455" s="27" t="s">
        <v>85</v>
      </c>
      <c r="L455" s="34">
        <v>46184.0</v>
      </c>
      <c r="M455" s="35" t="s">
        <v>139</v>
      </c>
      <c r="N455" s="2">
        <v>3146.0</v>
      </c>
      <c r="O455" s="36" t="s">
        <v>773</v>
      </c>
      <c r="P455" s="63">
        <v>46192.0</v>
      </c>
      <c r="Q455" s="38"/>
      <c r="R455" s="38"/>
      <c r="S455" s="38"/>
      <c r="T455" s="38"/>
      <c r="U455" s="38"/>
      <c r="V455" s="38"/>
    </row>
    <row r="456">
      <c r="A456" s="27" t="s">
        <v>654</v>
      </c>
      <c r="B456" s="27" t="s">
        <v>655</v>
      </c>
      <c r="C456" s="27" t="s">
        <v>129</v>
      </c>
      <c r="D456" s="28" t="s">
        <v>61</v>
      </c>
      <c r="E456" s="27">
        <v>1.0</v>
      </c>
      <c r="F456" s="27" t="s">
        <v>864</v>
      </c>
      <c r="G456" s="109" t="s">
        <v>35</v>
      </c>
      <c r="H456" s="28">
        <v>10267.0</v>
      </c>
      <c r="I456" s="30" t="str">
        <f t="shared" si="9"/>
        <v>10267-GSB-SDS/1043563</v>
      </c>
      <c r="J456" s="31" t="s">
        <v>772</v>
      </c>
      <c r="K456" s="27" t="s">
        <v>85</v>
      </c>
      <c r="L456" s="34">
        <v>46184.0</v>
      </c>
      <c r="M456" s="35" t="s">
        <v>139</v>
      </c>
      <c r="N456" s="2">
        <v>3146.0</v>
      </c>
      <c r="O456" s="36" t="s">
        <v>773</v>
      </c>
      <c r="P456" s="63">
        <v>46192.0</v>
      </c>
      <c r="Q456" s="38"/>
      <c r="R456" s="38"/>
      <c r="S456" s="38"/>
      <c r="T456" s="38"/>
      <c r="U456" s="38"/>
      <c r="V456" s="38"/>
    </row>
    <row r="457">
      <c r="A457" s="75">
        <v>46141.0</v>
      </c>
      <c r="B457" s="27" t="s">
        <v>35</v>
      </c>
      <c r="C457" s="27" t="s">
        <v>35</v>
      </c>
      <c r="D457" s="70" t="s">
        <v>264</v>
      </c>
      <c r="E457" s="27">
        <v>1.0</v>
      </c>
      <c r="F457" s="27" t="s">
        <v>865</v>
      </c>
      <c r="G457" s="109" t="s">
        <v>35</v>
      </c>
      <c r="H457" s="28">
        <v>1662.0</v>
      </c>
      <c r="I457" s="30" t="str">
        <f t="shared" si="9"/>
        <v>1662-GSB-SDS-1027410</v>
      </c>
      <c r="J457" s="31" t="s">
        <v>772</v>
      </c>
      <c r="K457" s="27" t="s">
        <v>85</v>
      </c>
      <c r="L457" s="34">
        <v>46184.0</v>
      </c>
      <c r="M457" s="35" t="s">
        <v>139</v>
      </c>
      <c r="N457" s="2">
        <v>3145.0</v>
      </c>
      <c r="O457" s="36" t="s">
        <v>773</v>
      </c>
      <c r="P457" s="63">
        <v>46192.0</v>
      </c>
      <c r="Q457" s="38"/>
      <c r="R457" s="38"/>
      <c r="S457" s="38"/>
      <c r="T457" s="38"/>
      <c r="U457" s="38"/>
      <c r="V457" s="38"/>
    </row>
    <row r="458">
      <c r="A458" s="75">
        <v>46085.0</v>
      </c>
      <c r="B458" s="27" t="s">
        <v>345</v>
      </c>
      <c r="C458" s="27">
        <v>8.86618177071E11</v>
      </c>
      <c r="D458" s="28" t="s">
        <v>67</v>
      </c>
      <c r="E458" s="27">
        <v>1.0</v>
      </c>
      <c r="F458" s="109" t="s">
        <v>35</v>
      </c>
      <c r="G458" s="27" t="s">
        <v>35</v>
      </c>
      <c r="H458" s="28">
        <v>10078.0</v>
      </c>
      <c r="I458" s="30" t="str">
        <f t="shared" ref="I458:I460" si="10">CONCATENATE(H458,"-","GSB","-",G458)</f>
        <v>10078-GSB-N/A</v>
      </c>
      <c r="J458" s="31" t="s">
        <v>772</v>
      </c>
      <c r="K458" s="27" t="s">
        <v>85</v>
      </c>
      <c r="L458" s="34">
        <v>46184.0</v>
      </c>
      <c r="M458" s="35" t="s">
        <v>139</v>
      </c>
      <c r="N458" s="2">
        <v>3145.0</v>
      </c>
      <c r="O458" s="36" t="s">
        <v>773</v>
      </c>
      <c r="P458" s="63">
        <v>46192.0</v>
      </c>
      <c r="Q458" s="38"/>
      <c r="R458" s="38"/>
      <c r="S458" s="38"/>
      <c r="T458" s="38"/>
      <c r="U458" s="38"/>
      <c r="V458" s="38"/>
    </row>
    <row r="459">
      <c r="A459" s="75">
        <v>46085.0</v>
      </c>
      <c r="B459" s="27" t="s">
        <v>345</v>
      </c>
      <c r="C459" s="27">
        <v>8.86618177071E11</v>
      </c>
      <c r="D459" s="28" t="s">
        <v>67</v>
      </c>
      <c r="E459" s="27">
        <v>1.0</v>
      </c>
      <c r="F459" s="109" t="s">
        <v>35</v>
      </c>
      <c r="G459" s="27" t="s">
        <v>35</v>
      </c>
      <c r="H459" s="28">
        <v>10082.0</v>
      </c>
      <c r="I459" s="30" t="str">
        <f t="shared" si="10"/>
        <v>10082-GSB-N/A</v>
      </c>
      <c r="J459" s="31" t="s">
        <v>772</v>
      </c>
      <c r="K459" s="27" t="s">
        <v>85</v>
      </c>
      <c r="L459" s="34">
        <v>46184.0</v>
      </c>
      <c r="M459" s="35" t="s">
        <v>139</v>
      </c>
      <c r="N459" s="2">
        <v>3145.0</v>
      </c>
      <c r="O459" s="36" t="s">
        <v>773</v>
      </c>
      <c r="P459" s="63">
        <v>46192.0</v>
      </c>
      <c r="Q459" s="38"/>
      <c r="R459" s="38"/>
      <c r="S459" s="38"/>
      <c r="T459" s="38"/>
      <c r="U459" s="38"/>
      <c r="V459" s="38"/>
    </row>
    <row r="460">
      <c r="A460" s="75">
        <v>46085.0</v>
      </c>
      <c r="B460" s="27" t="s">
        <v>345</v>
      </c>
      <c r="C460" s="27">
        <v>8.86618177071E11</v>
      </c>
      <c r="D460" s="28" t="s">
        <v>67</v>
      </c>
      <c r="E460" s="27">
        <v>1.0</v>
      </c>
      <c r="F460" s="109" t="s">
        <v>35</v>
      </c>
      <c r="G460" s="27" t="s">
        <v>35</v>
      </c>
      <c r="H460" s="28">
        <v>10085.0</v>
      </c>
      <c r="I460" s="30" t="str">
        <f t="shared" si="10"/>
        <v>10085-GSB-N/A</v>
      </c>
      <c r="J460" s="31" t="s">
        <v>772</v>
      </c>
      <c r="K460" s="27" t="s">
        <v>85</v>
      </c>
      <c r="L460" s="34">
        <v>46184.0</v>
      </c>
      <c r="M460" s="35" t="s">
        <v>139</v>
      </c>
      <c r="N460" s="2">
        <v>3145.0</v>
      </c>
      <c r="O460" s="36" t="s">
        <v>773</v>
      </c>
      <c r="P460" s="63">
        <v>46192.0</v>
      </c>
      <c r="Q460" s="38"/>
      <c r="R460" s="38"/>
      <c r="S460" s="38"/>
      <c r="T460" s="38"/>
      <c r="U460" s="38"/>
      <c r="V460" s="38"/>
    </row>
    <row r="461">
      <c r="A461" s="75">
        <v>46184.0</v>
      </c>
      <c r="B461" s="27">
        <v>59889.0</v>
      </c>
      <c r="C461" s="27">
        <v>4.998114565E9</v>
      </c>
      <c r="D461" s="92" t="s">
        <v>2</v>
      </c>
      <c r="E461" s="35">
        <v>1.0</v>
      </c>
      <c r="F461" s="35" t="s">
        <v>866</v>
      </c>
      <c r="G461" s="119" t="s">
        <v>35</v>
      </c>
      <c r="H461" s="92">
        <v>10335.0</v>
      </c>
      <c r="I461" s="105" t="str">
        <f t="shared" ref="I461:I474" si="11">CONCATENATE(H461,"-","GSB","-",F461)</f>
        <v>10335-GSB-SDS-1043589</v>
      </c>
      <c r="J461" s="25" t="s">
        <v>774</v>
      </c>
      <c r="K461" s="27" t="s">
        <v>55</v>
      </c>
      <c r="L461" s="34">
        <v>46185.0</v>
      </c>
      <c r="M461" s="35" t="s">
        <v>139</v>
      </c>
      <c r="N461" s="2">
        <v>3482.0</v>
      </c>
      <c r="O461" s="36" t="s">
        <v>337</v>
      </c>
      <c r="P461" s="63">
        <v>46191.0</v>
      </c>
      <c r="Q461" s="38"/>
      <c r="R461" s="38"/>
      <c r="S461" s="38"/>
      <c r="T461" s="38"/>
      <c r="U461" s="38"/>
      <c r="V461" s="38"/>
    </row>
    <row r="462">
      <c r="A462" s="75">
        <v>46184.0</v>
      </c>
      <c r="B462" s="27">
        <v>59889.0</v>
      </c>
      <c r="C462" s="27">
        <v>4.998114565E9</v>
      </c>
      <c r="D462" s="92" t="s">
        <v>2</v>
      </c>
      <c r="E462" s="35">
        <v>1.0</v>
      </c>
      <c r="F462" s="35" t="s">
        <v>867</v>
      </c>
      <c r="G462" s="119" t="s">
        <v>35</v>
      </c>
      <c r="H462" s="92">
        <v>10305.0</v>
      </c>
      <c r="I462" s="105" t="str">
        <f t="shared" si="11"/>
        <v>10305-GSB-SDS-1043579</v>
      </c>
      <c r="J462" s="25" t="s">
        <v>774</v>
      </c>
      <c r="K462" s="27" t="s">
        <v>55</v>
      </c>
      <c r="L462" s="34">
        <v>46185.0</v>
      </c>
      <c r="M462" s="35" t="s">
        <v>139</v>
      </c>
      <c r="N462" s="2">
        <v>3482.0</v>
      </c>
      <c r="O462" s="36" t="s">
        <v>337</v>
      </c>
      <c r="P462" s="63">
        <v>46191.0</v>
      </c>
      <c r="Q462" s="38"/>
      <c r="R462" s="38"/>
      <c r="S462" s="38"/>
      <c r="T462" s="38"/>
      <c r="U462" s="38"/>
      <c r="V462" s="38"/>
    </row>
    <row r="463">
      <c r="A463" s="75">
        <v>46184.0</v>
      </c>
      <c r="B463" s="27">
        <v>59889.0</v>
      </c>
      <c r="C463" s="27">
        <v>4.998114565E9</v>
      </c>
      <c r="D463" s="92" t="s">
        <v>2</v>
      </c>
      <c r="E463" s="35">
        <v>1.0</v>
      </c>
      <c r="F463" s="35" t="s">
        <v>868</v>
      </c>
      <c r="G463" s="119" t="s">
        <v>35</v>
      </c>
      <c r="H463" s="92">
        <v>10304.0</v>
      </c>
      <c r="I463" s="105" t="str">
        <f t="shared" si="11"/>
        <v>10304-GSB-SDS-1043590</v>
      </c>
      <c r="J463" s="25" t="s">
        <v>774</v>
      </c>
      <c r="K463" s="27" t="s">
        <v>55</v>
      </c>
      <c r="L463" s="34">
        <v>46185.0</v>
      </c>
      <c r="M463" s="35" t="s">
        <v>139</v>
      </c>
      <c r="N463" s="2">
        <v>3482.0</v>
      </c>
      <c r="O463" s="36" t="s">
        <v>337</v>
      </c>
      <c r="P463" s="63">
        <v>46191.0</v>
      </c>
      <c r="Q463" s="38"/>
      <c r="R463" s="38"/>
      <c r="S463" s="38"/>
      <c r="T463" s="38"/>
      <c r="U463" s="38"/>
      <c r="V463" s="38"/>
    </row>
    <row r="464">
      <c r="A464" s="75">
        <v>46184.0</v>
      </c>
      <c r="B464" s="27">
        <v>59889.0</v>
      </c>
      <c r="C464" s="27">
        <v>4.998114565E9</v>
      </c>
      <c r="D464" s="92" t="s">
        <v>2</v>
      </c>
      <c r="E464" s="35">
        <v>1.0</v>
      </c>
      <c r="F464" s="35" t="s">
        <v>869</v>
      </c>
      <c r="G464" s="119" t="s">
        <v>35</v>
      </c>
      <c r="H464" s="92">
        <v>10319.0</v>
      </c>
      <c r="I464" s="105" t="str">
        <f t="shared" si="11"/>
        <v>10319-GSB-SDS-1043585</v>
      </c>
      <c r="J464" s="25" t="s">
        <v>774</v>
      </c>
      <c r="K464" s="27" t="s">
        <v>55</v>
      </c>
      <c r="L464" s="34">
        <v>46185.0</v>
      </c>
      <c r="M464" s="35" t="s">
        <v>139</v>
      </c>
      <c r="N464" s="2">
        <v>3482.0</v>
      </c>
      <c r="O464" s="36" t="s">
        <v>337</v>
      </c>
      <c r="P464" s="63">
        <v>46191.0</v>
      </c>
      <c r="Q464" s="38"/>
      <c r="R464" s="38"/>
      <c r="S464" s="38"/>
      <c r="T464" s="38"/>
      <c r="U464" s="38"/>
      <c r="V464" s="38"/>
    </row>
    <row r="465">
      <c r="A465" s="75">
        <v>46184.0</v>
      </c>
      <c r="B465" s="27" t="s">
        <v>621</v>
      </c>
      <c r="C465" s="27" t="s">
        <v>617</v>
      </c>
      <c r="D465" s="92" t="s">
        <v>8</v>
      </c>
      <c r="E465" s="35">
        <v>1.0</v>
      </c>
      <c r="F465" s="35" t="s">
        <v>870</v>
      </c>
      <c r="G465" s="119" t="s">
        <v>35</v>
      </c>
      <c r="H465" s="92">
        <v>10355.0</v>
      </c>
      <c r="I465" s="97" t="str">
        <f t="shared" si="11"/>
        <v>10355-GSB-SDS/1043461</v>
      </c>
      <c r="J465" s="25" t="s">
        <v>774</v>
      </c>
      <c r="K465" s="27" t="s">
        <v>55</v>
      </c>
      <c r="L465" s="34">
        <v>46185.0</v>
      </c>
      <c r="M465" s="35" t="s">
        <v>139</v>
      </c>
      <c r="N465" s="2">
        <v>3485.0</v>
      </c>
      <c r="O465" s="36" t="s">
        <v>337</v>
      </c>
      <c r="P465" s="63">
        <v>46191.0</v>
      </c>
      <c r="Q465" s="38"/>
      <c r="R465" s="38"/>
      <c r="S465" s="38"/>
      <c r="T465" s="38"/>
      <c r="U465" s="38"/>
      <c r="V465" s="38"/>
    </row>
    <row r="466">
      <c r="A466" s="75">
        <v>46184.0</v>
      </c>
      <c r="B466" s="27" t="s">
        <v>621</v>
      </c>
      <c r="C466" s="27" t="s">
        <v>617</v>
      </c>
      <c r="D466" s="92" t="s">
        <v>8</v>
      </c>
      <c r="E466" s="35">
        <v>1.0</v>
      </c>
      <c r="F466" s="35" t="s">
        <v>871</v>
      </c>
      <c r="G466" s="119" t="s">
        <v>35</v>
      </c>
      <c r="H466" s="92">
        <v>10356.0</v>
      </c>
      <c r="I466" s="97" t="str">
        <f t="shared" si="11"/>
        <v>10356-GSB-SDS/1043469</v>
      </c>
      <c r="J466" s="25" t="s">
        <v>774</v>
      </c>
      <c r="K466" s="27" t="s">
        <v>55</v>
      </c>
      <c r="L466" s="34">
        <v>46185.0</v>
      </c>
      <c r="M466" s="35" t="s">
        <v>139</v>
      </c>
      <c r="N466" s="2">
        <v>3485.0</v>
      </c>
      <c r="O466" s="36" t="s">
        <v>337</v>
      </c>
      <c r="P466" s="63">
        <v>46191.0</v>
      </c>
      <c r="Q466" s="38"/>
      <c r="R466" s="38"/>
      <c r="S466" s="38"/>
      <c r="T466" s="38"/>
      <c r="U466" s="38"/>
      <c r="V466" s="38"/>
    </row>
    <row r="467">
      <c r="A467" s="75">
        <v>46184.0</v>
      </c>
      <c r="B467" s="27" t="s">
        <v>621</v>
      </c>
      <c r="C467" s="27" t="s">
        <v>617</v>
      </c>
      <c r="D467" s="92" t="s">
        <v>8</v>
      </c>
      <c r="E467" s="35">
        <v>1.0</v>
      </c>
      <c r="F467" s="35" t="s">
        <v>872</v>
      </c>
      <c r="G467" s="119" t="s">
        <v>35</v>
      </c>
      <c r="H467" s="92">
        <v>10364.0</v>
      </c>
      <c r="I467" s="97" t="str">
        <f t="shared" si="11"/>
        <v>10364-GSB-SDS/1043485</v>
      </c>
      <c r="J467" s="25" t="s">
        <v>774</v>
      </c>
      <c r="K467" s="27" t="s">
        <v>55</v>
      </c>
      <c r="L467" s="34">
        <v>46185.0</v>
      </c>
      <c r="M467" s="35" t="s">
        <v>139</v>
      </c>
      <c r="N467" s="2">
        <v>3485.0</v>
      </c>
      <c r="O467" s="36" t="s">
        <v>337</v>
      </c>
      <c r="P467" s="63">
        <v>46191.0</v>
      </c>
      <c r="Q467" s="38"/>
      <c r="R467" s="38"/>
      <c r="S467" s="38"/>
      <c r="T467" s="38"/>
      <c r="U467" s="38"/>
      <c r="V467" s="38"/>
    </row>
    <row r="468">
      <c r="A468" s="27" t="s">
        <v>654</v>
      </c>
      <c r="B468" s="27" t="s">
        <v>655</v>
      </c>
      <c r="C468" s="27" t="s">
        <v>129</v>
      </c>
      <c r="D468" s="92" t="s">
        <v>61</v>
      </c>
      <c r="E468" s="35">
        <v>1.0</v>
      </c>
      <c r="F468" s="35" t="s">
        <v>873</v>
      </c>
      <c r="G468" s="119" t="s">
        <v>35</v>
      </c>
      <c r="H468" s="92">
        <v>10299.0</v>
      </c>
      <c r="I468" s="97" t="str">
        <f t="shared" si="11"/>
        <v>10299-GSB-SDS/1043559</v>
      </c>
      <c r="J468" s="25" t="s">
        <v>774</v>
      </c>
      <c r="K468" s="27" t="s">
        <v>55</v>
      </c>
      <c r="L468" s="34">
        <v>46185.0</v>
      </c>
      <c r="M468" s="35" t="s">
        <v>139</v>
      </c>
      <c r="N468" s="2">
        <v>3482.0</v>
      </c>
      <c r="O468" s="36" t="s">
        <v>337</v>
      </c>
      <c r="P468" s="63">
        <v>46191.0</v>
      </c>
      <c r="Q468" s="38"/>
      <c r="R468" s="38"/>
      <c r="S468" s="38"/>
      <c r="T468" s="38"/>
      <c r="U468" s="38"/>
      <c r="V468" s="38"/>
    </row>
    <row r="469">
      <c r="A469" s="27" t="s">
        <v>654</v>
      </c>
      <c r="B469" s="27" t="s">
        <v>655</v>
      </c>
      <c r="C469" s="27" t="s">
        <v>129</v>
      </c>
      <c r="D469" s="92" t="s">
        <v>61</v>
      </c>
      <c r="E469" s="35">
        <v>1.0</v>
      </c>
      <c r="F469" s="35" t="s">
        <v>874</v>
      </c>
      <c r="G469" s="119" t="s">
        <v>35</v>
      </c>
      <c r="H469" s="92">
        <v>10296.0</v>
      </c>
      <c r="I469" s="97" t="str">
        <f t="shared" si="11"/>
        <v>10296-GSB-SDS/1043570</v>
      </c>
      <c r="J469" s="25" t="s">
        <v>774</v>
      </c>
      <c r="K469" s="27" t="s">
        <v>55</v>
      </c>
      <c r="L469" s="34">
        <v>46185.0</v>
      </c>
      <c r="M469" s="35" t="s">
        <v>139</v>
      </c>
      <c r="N469" s="2">
        <v>3482.0</v>
      </c>
      <c r="O469" s="36" t="s">
        <v>337</v>
      </c>
      <c r="P469" s="63">
        <v>46191.0</v>
      </c>
      <c r="Q469" s="38"/>
      <c r="R469" s="38"/>
      <c r="S469" s="38"/>
      <c r="T469" s="38"/>
      <c r="U469" s="38"/>
      <c r="V469" s="38"/>
    </row>
    <row r="470">
      <c r="A470" s="27" t="s">
        <v>654</v>
      </c>
      <c r="B470" s="27" t="s">
        <v>655</v>
      </c>
      <c r="C470" s="27" t="s">
        <v>129</v>
      </c>
      <c r="D470" s="92" t="s">
        <v>61</v>
      </c>
      <c r="E470" s="35">
        <v>1.0</v>
      </c>
      <c r="F470" s="35" t="s">
        <v>875</v>
      </c>
      <c r="G470" s="119" t="s">
        <v>35</v>
      </c>
      <c r="H470" s="92">
        <v>10291.0</v>
      </c>
      <c r="I470" s="97" t="str">
        <f t="shared" si="11"/>
        <v>10291-GSB-SDS/1043539</v>
      </c>
      <c r="J470" s="25" t="s">
        <v>774</v>
      </c>
      <c r="K470" s="27" t="s">
        <v>55</v>
      </c>
      <c r="L470" s="34">
        <v>46185.0</v>
      </c>
      <c r="M470" s="35" t="s">
        <v>139</v>
      </c>
      <c r="N470" s="2">
        <v>3482.0</v>
      </c>
      <c r="O470" s="36" t="s">
        <v>337</v>
      </c>
      <c r="P470" s="63">
        <v>46191.0</v>
      </c>
      <c r="Q470" s="38"/>
      <c r="R470" s="38"/>
      <c r="S470" s="38"/>
      <c r="T470" s="38"/>
      <c r="U470" s="38"/>
      <c r="V470" s="38"/>
    </row>
    <row r="471">
      <c r="A471" s="27" t="s">
        <v>654</v>
      </c>
      <c r="B471" s="27" t="s">
        <v>655</v>
      </c>
      <c r="C471" s="27" t="s">
        <v>129</v>
      </c>
      <c r="D471" s="92" t="s">
        <v>61</v>
      </c>
      <c r="E471" s="35">
        <v>1.0</v>
      </c>
      <c r="F471" s="35" t="s">
        <v>876</v>
      </c>
      <c r="G471" s="119" t="s">
        <v>35</v>
      </c>
      <c r="H471" s="92">
        <v>10295.0</v>
      </c>
      <c r="I471" s="97" t="str">
        <f t="shared" si="11"/>
        <v>10295-GSB-SDS/1043552</v>
      </c>
      <c r="J471" s="25" t="s">
        <v>774</v>
      </c>
      <c r="K471" s="27" t="s">
        <v>55</v>
      </c>
      <c r="L471" s="34">
        <v>46185.0</v>
      </c>
      <c r="M471" s="35" t="s">
        <v>139</v>
      </c>
      <c r="N471" s="2">
        <v>3482.0</v>
      </c>
      <c r="O471" s="36" t="s">
        <v>337</v>
      </c>
      <c r="P471" s="63">
        <v>46191.0</v>
      </c>
      <c r="Q471" s="38"/>
      <c r="R471" s="38"/>
      <c r="S471" s="38"/>
      <c r="T471" s="38"/>
      <c r="U471" s="38"/>
      <c r="V471" s="38"/>
    </row>
    <row r="472">
      <c r="A472" s="75">
        <v>46184.0</v>
      </c>
      <c r="B472" s="27" t="s">
        <v>35</v>
      </c>
      <c r="C472" s="27" t="s">
        <v>877</v>
      </c>
      <c r="D472" s="92" t="s">
        <v>878</v>
      </c>
      <c r="E472" s="27">
        <v>1.0</v>
      </c>
      <c r="F472" s="27" t="s">
        <v>879</v>
      </c>
      <c r="G472" s="119" t="s">
        <v>880</v>
      </c>
      <c r="H472" s="28">
        <v>1578.0</v>
      </c>
      <c r="I472" s="97" t="str">
        <f t="shared" si="11"/>
        <v>1578-GSB-SDS/1026779</v>
      </c>
      <c r="J472" s="25" t="s">
        <v>774</v>
      </c>
      <c r="K472" s="27" t="s">
        <v>55</v>
      </c>
      <c r="L472" s="34">
        <v>46185.0</v>
      </c>
      <c r="M472" s="35" t="s">
        <v>139</v>
      </c>
      <c r="N472" s="2">
        <v>3482.0</v>
      </c>
      <c r="O472" s="36" t="s">
        <v>337</v>
      </c>
      <c r="P472" s="63">
        <v>46191.0</v>
      </c>
      <c r="Q472" s="38"/>
      <c r="R472" s="38"/>
      <c r="S472" s="38"/>
      <c r="T472" s="38"/>
      <c r="U472" s="38"/>
      <c r="V472" s="38"/>
    </row>
    <row r="473">
      <c r="A473" s="75">
        <v>46184.0</v>
      </c>
      <c r="B473" s="27">
        <v>59889.0</v>
      </c>
      <c r="C473" s="27">
        <v>4.998114565E9</v>
      </c>
      <c r="D473" s="28" t="s">
        <v>2</v>
      </c>
      <c r="E473" s="27">
        <v>1.0</v>
      </c>
      <c r="F473" s="27" t="s">
        <v>881</v>
      </c>
      <c r="G473" s="109" t="s">
        <v>35</v>
      </c>
      <c r="H473" s="28">
        <v>10336.0</v>
      </c>
      <c r="I473" s="70" t="str">
        <f t="shared" si="11"/>
        <v>10336-GSB-SDS-1043630</v>
      </c>
      <c r="J473" s="31" t="s">
        <v>882</v>
      </c>
      <c r="K473" s="27" t="s">
        <v>55</v>
      </c>
      <c r="L473" s="34">
        <v>46185.0</v>
      </c>
      <c r="M473" s="35" t="s">
        <v>139</v>
      </c>
      <c r="N473" s="2">
        <v>3488.0</v>
      </c>
      <c r="O473" s="36" t="s">
        <v>883</v>
      </c>
      <c r="P473" s="63">
        <v>46192.0</v>
      </c>
      <c r="Q473" s="38"/>
      <c r="R473" s="38"/>
      <c r="S473" s="38"/>
      <c r="T473" s="38"/>
      <c r="U473" s="38"/>
      <c r="V473" s="38"/>
    </row>
    <row r="474">
      <c r="A474" s="27" t="s">
        <v>654</v>
      </c>
      <c r="B474" s="27" t="s">
        <v>655</v>
      </c>
      <c r="C474" s="27" t="s">
        <v>129</v>
      </c>
      <c r="D474" s="28" t="s">
        <v>61</v>
      </c>
      <c r="E474" s="27">
        <v>1.0</v>
      </c>
      <c r="F474" s="27" t="s">
        <v>884</v>
      </c>
      <c r="G474" s="109" t="s">
        <v>35</v>
      </c>
      <c r="H474" s="28">
        <v>10297.0</v>
      </c>
      <c r="I474" s="30" t="str">
        <f t="shared" si="11"/>
        <v>10297-GSB-SDS/1043532</v>
      </c>
      <c r="J474" s="31" t="s">
        <v>882</v>
      </c>
      <c r="K474" s="27" t="s">
        <v>55</v>
      </c>
      <c r="L474" s="34">
        <v>46185.0</v>
      </c>
      <c r="M474" s="35" t="s">
        <v>139</v>
      </c>
      <c r="N474" s="2">
        <v>3488.0</v>
      </c>
      <c r="O474" s="36" t="s">
        <v>883</v>
      </c>
      <c r="P474" s="63">
        <v>46192.0</v>
      </c>
      <c r="Q474" s="38"/>
      <c r="R474" s="38"/>
      <c r="S474" s="38"/>
      <c r="T474" s="38"/>
      <c r="U474" s="38"/>
      <c r="V474" s="38"/>
    </row>
    <row r="475">
      <c r="A475" s="75">
        <v>46184.0</v>
      </c>
      <c r="B475" s="27" t="s">
        <v>35</v>
      </c>
      <c r="C475" s="27" t="s">
        <v>35</v>
      </c>
      <c r="D475" s="28" t="s">
        <v>31</v>
      </c>
      <c r="E475" s="27">
        <v>1.0</v>
      </c>
      <c r="F475" s="109" t="s">
        <v>35</v>
      </c>
      <c r="G475" s="35" t="s">
        <v>35</v>
      </c>
      <c r="H475" s="92">
        <v>10262.0</v>
      </c>
      <c r="I475" s="97" t="str">
        <f t="shared" ref="I475:I478" si="12">CONCATENATE(H475,"-","GSB","-",G475)</f>
        <v>10262-GSB-N/A</v>
      </c>
      <c r="J475" s="48" t="s">
        <v>544</v>
      </c>
      <c r="K475" s="27" t="s">
        <v>152</v>
      </c>
      <c r="L475" s="34">
        <v>46185.0</v>
      </c>
      <c r="M475" s="35" t="s">
        <v>60</v>
      </c>
      <c r="N475" s="2">
        <v>3073.0</v>
      </c>
      <c r="O475" s="36" t="s">
        <v>546</v>
      </c>
      <c r="P475" s="37">
        <v>46190.0</v>
      </c>
      <c r="Q475" s="38"/>
      <c r="R475" s="38"/>
      <c r="S475" s="38"/>
      <c r="T475" s="38"/>
      <c r="U475" s="38"/>
      <c r="V475" s="38"/>
    </row>
    <row r="476">
      <c r="A476" s="75">
        <v>46184.0</v>
      </c>
      <c r="B476" s="27" t="s">
        <v>35</v>
      </c>
      <c r="C476" s="27" t="s">
        <v>35</v>
      </c>
      <c r="D476" s="28" t="s">
        <v>31</v>
      </c>
      <c r="E476" s="27">
        <v>1.0</v>
      </c>
      <c r="F476" s="109" t="s">
        <v>35</v>
      </c>
      <c r="G476" s="35" t="s">
        <v>35</v>
      </c>
      <c r="H476" s="92">
        <v>10255.0</v>
      </c>
      <c r="I476" s="97" t="str">
        <f t="shared" si="12"/>
        <v>10255-GSB-N/A</v>
      </c>
      <c r="J476" s="48" t="s">
        <v>544</v>
      </c>
      <c r="K476" s="27" t="s">
        <v>152</v>
      </c>
      <c r="L476" s="34">
        <v>46185.0</v>
      </c>
      <c r="M476" s="35" t="s">
        <v>60</v>
      </c>
      <c r="N476" s="2">
        <v>3075.0</v>
      </c>
      <c r="O476" s="36" t="s">
        <v>885</v>
      </c>
      <c r="P476" s="63">
        <v>46191.0</v>
      </c>
      <c r="Q476" s="38"/>
      <c r="R476" s="38"/>
      <c r="S476" s="38"/>
      <c r="T476" s="38"/>
      <c r="U476" s="38"/>
      <c r="V476" s="38"/>
    </row>
    <row r="477">
      <c r="A477" s="75">
        <v>46085.0</v>
      </c>
      <c r="B477" s="27" t="s">
        <v>135</v>
      </c>
      <c r="C477" s="27">
        <v>6.76544009023E11</v>
      </c>
      <c r="D477" s="28" t="s">
        <v>47</v>
      </c>
      <c r="E477" s="27">
        <v>1.0</v>
      </c>
      <c r="F477" s="109" t="s">
        <v>35</v>
      </c>
      <c r="G477" s="35" t="s">
        <v>35</v>
      </c>
      <c r="H477" s="92">
        <v>10095.0</v>
      </c>
      <c r="I477" s="97" t="str">
        <f t="shared" si="12"/>
        <v>10095-GSB-N/A</v>
      </c>
      <c r="J477" s="48" t="s">
        <v>544</v>
      </c>
      <c r="K477" s="27" t="s">
        <v>152</v>
      </c>
      <c r="L477" s="34">
        <v>46185.0</v>
      </c>
      <c r="M477" s="35" t="s">
        <v>60</v>
      </c>
      <c r="N477" s="2">
        <v>3073.0</v>
      </c>
      <c r="O477" s="36" t="s">
        <v>546</v>
      </c>
      <c r="P477" s="37">
        <v>46190.0</v>
      </c>
      <c r="Q477" s="38"/>
      <c r="R477" s="38"/>
      <c r="S477" s="38"/>
      <c r="T477" s="38"/>
      <c r="U477" s="38"/>
      <c r="V477" s="38"/>
    </row>
    <row r="478">
      <c r="A478" s="75">
        <v>46085.0</v>
      </c>
      <c r="B478" s="27" t="s">
        <v>135</v>
      </c>
      <c r="C478" s="27">
        <v>6.76544009023E11</v>
      </c>
      <c r="D478" s="28" t="s">
        <v>47</v>
      </c>
      <c r="E478" s="27">
        <v>1.0</v>
      </c>
      <c r="F478" s="109" t="s">
        <v>35</v>
      </c>
      <c r="G478" s="35" t="s">
        <v>35</v>
      </c>
      <c r="H478" s="92">
        <v>10097.0</v>
      </c>
      <c r="I478" s="97" t="str">
        <f t="shared" si="12"/>
        <v>10097-GSB-N/A</v>
      </c>
      <c r="J478" s="48" t="s">
        <v>544</v>
      </c>
      <c r="K478" s="27" t="s">
        <v>152</v>
      </c>
      <c r="L478" s="34">
        <v>46185.0</v>
      </c>
      <c r="M478" s="35" t="s">
        <v>60</v>
      </c>
      <c r="N478" s="2">
        <v>3077.0</v>
      </c>
      <c r="O478" s="36" t="s">
        <v>735</v>
      </c>
      <c r="P478" s="37">
        <v>46197.0</v>
      </c>
      <c r="Q478" s="38"/>
      <c r="R478" s="38"/>
      <c r="S478" s="38"/>
      <c r="T478" s="38"/>
      <c r="U478" s="38"/>
      <c r="V478" s="38"/>
    </row>
    <row r="479">
      <c r="A479" s="27" t="s">
        <v>654</v>
      </c>
      <c r="B479" s="27" t="s">
        <v>655</v>
      </c>
      <c r="C479" s="27" t="s">
        <v>129</v>
      </c>
      <c r="D479" s="28" t="s">
        <v>61</v>
      </c>
      <c r="E479" s="27">
        <v>1.0</v>
      </c>
      <c r="F479" s="27" t="s">
        <v>886</v>
      </c>
      <c r="G479" s="119" t="s">
        <v>35</v>
      </c>
      <c r="H479" s="92">
        <v>10282.0</v>
      </c>
      <c r="I479" s="97" t="str">
        <f t="shared" ref="I479:I482" si="13">CONCATENATE(H479,"-","GSB","-",F479)</f>
        <v>10282-GSB-SDS/1043545</v>
      </c>
      <c r="J479" s="48" t="s">
        <v>544</v>
      </c>
      <c r="K479" s="27" t="s">
        <v>152</v>
      </c>
      <c r="L479" s="34">
        <v>46185.0</v>
      </c>
      <c r="M479" s="35" t="s">
        <v>60</v>
      </c>
      <c r="N479" s="2">
        <v>3085.0</v>
      </c>
      <c r="O479" s="36" t="s">
        <v>887</v>
      </c>
      <c r="P479" s="63">
        <v>46230.0</v>
      </c>
      <c r="Q479" s="38"/>
      <c r="R479" s="38"/>
      <c r="S479" s="38"/>
      <c r="T479" s="38"/>
      <c r="U479" s="38"/>
      <c r="V479" s="38"/>
    </row>
    <row r="480">
      <c r="A480" s="27" t="s">
        <v>654</v>
      </c>
      <c r="B480" s="27" t="s">
        <v>655</v>
      </c>
      <c r="C480" s="27" t="s">
        <v>129</v>
      </c>
      <c r="D480" s="28" t="s">
        <v>61</v>
      </c>
      <c r="E480" s="27">
        <v>1.0</v>
      </c>
      <c r="F480" s="27" t="s">
        <v>888</v>
      </c>
      <c r="G480" s="119" t="s">
        <v>35</v>
      </c>
      <c r="H480" s="92">
        <v>10290.0</v>
      </c>
      <c r="I480" s="97" t="str">
        <f t="shared" si="13"/>
        <v>10290-GSB-SDS/1043553</v>
      </c>
      <c r="J480" s="48" t="s">
        <v>544</v>
      </c>
      <c r="K480" s="27" t="s">
        <v>152</v>
      </c>
      <c r="L480" s="34">
        <v>46185.0</v>
      </c>
      <c r="M480" s="35" t="s">
        <v>60</v>
      </c>
      <c r="N480" s="2">
        <v>3089.0</v>
      </c>
      <c r="O480" s="36" t="s">
        <v>752</v>
      </c>
      <c r="P480" s="63">
        <v>46247.0</v>
      </c>
      <c r="Q480" s="38"/>
      <c r="R480" s="38"/>
      <c r="S480" s="38"/>
      <c r="T480" s="38"/>
      <c r="U480" s="38"/>
      <c r="V480" s="38"/>
    </row>
    <row r="481">
      <c r="A481" s="27" t="s">
        <v>654</v>
      </c>
      <c r="B481" s="27" t="s">
        <v>655</v>
      </c>
      <c r="C481" s="27" t="s">
        <v>129</v>
      </c>
      <c r="D481" s="28" t="s">
        <v>61</v>
      </c>
      <c r="E481" s="27">
        <v>1.0</v>
      </c>
      <c r="F481" s="27" t="s">
        <v>889</v>
      </c>
      <c r="G481" s="119" t="s">
        <v>35</v>
      </c>
      <c r="H481" s="92">
        <v>10293.0</v>
      </c>
      <c r="I481" s="97" t="str">
        <f t="shared" si="13"/>
        <v>10293-GSB-SDS/1043567</v>
      </c>
      <c r="J481" s="48" t="s">
        <v>544</v>
      </c>
      <c r="K481" s="27" t="s">
        <v>152</v>
      </c>
      <c r="L481" s="34">
        <v>46185.0</v>
      </c>
      <c r="M481" s="35" t="s">
        <v>60</v>
      </c>
      <c r="N481" s="2">
        <v>3078.0</v>
      </c>
      <c r="O481" s="36" t="s">
        <v>737</v>
      </c>
      <c r="P481" s="37">
        <v>46204.0</v>
      </c>
      <c r="Q481" s="38"/>
      <c r="R481" s="38"/>
      <c r="S481" s="38"/>
      <c r="T481" s="38"/>
      <c r="U481" s="38"/>
      <c r="V481" s="38"/>
    </row>
    <row r="482">
      <c r="A482" s="27" t="s">
        <v>654</v>
      </c>
      <c r="B482" s="27" t="s">
        <v>655</v>
      </c>
      <c r="C482" s="27" t="s">
        <v>129</v>
      </c>
      <c r="D482" s="28" t="s">
        <v>61</v>
      </c>
      <c r="E482" s="27">
        <v>1.0</v>
      </c>
      <c r="F482" s="27" t="s">
        <v>890</v>
      </c>
      <c r="G482" s="119" t="s">
        <v>35</v>
      </c>
      <c r="H482" s="92">
        <v>10280.0</v>
      </c>
      <c r="I482" s="97" t="str">
        <f t="shared" si="13"/>
        <v>10280-GSB-SDS/1043569</v>
      </c>
      <c r="J482" s="48" t="s">
        <v>544</v>
      </c>
      <c r="K482" s="27" t="s">
        <v>152</v>
      </c>
      <c r="L482" s="34">
        <v>46185.0</v>
      </c>
      <c r="M482" s="35" t="s">
        <v>60</v>
      </c>
      <c r="N482" s="2">
        <v>3077.0</v>
      </c>
      <c r="O482" s="36" t="s">
        <v>735</v>
      </c>
      <c r="P482" s="37">
        <v>46197.0</v>
      </c>
      <c r="Q482" s="38"/>
      <c r="R482" s="38"/>
      <c r="S482" s="38"/>
      <c r="T482" s="38"/>
      <c r="U482" s="38"/>
      <c r="V482" s="38"/>
    </row>
    <row r="483">
      <c r="A483" s="75">
        <v>46085.0</v>
      </c>
      <c r="B483" s="27" t="s">
        <v>345</v>
      </c>
      <c r="C483" s="27">
        <v>8.86618177071E11</v>
      </c>
      <c r="D483" s="28" t="s">
        <v>67</v>
      </c>
      <c r="E483" s="27">
        <v>1.0</v>
      </c>
      <c r="F483" s="109" t="s">
        <v>35</v>
      </c>
      <c r="G483" s="35" t="s">
        <v>35</v>
      </c>
      <c r="H483" s="92">
        <v>10084.0</v>
      </c>
      <c r="I483" s="97" t="str">
        <f t="shared" ref="I483:I485" si="14">CONCATENATE(H483,"-","GSB","-",G483)</f>
        <v>10084-GSB-N/A</v>
      </c>
      <c r="J483" s="48" t="s">
        <v>544</v>
      </c>
      <c r="K483" s="27" t="s">
        <v>152</v>
      </c>
      <c r="L483" s="34">
        <v>46185.0</v>
      </c>
      <c r="M483" s="35" t="s">
        <v>60</v>
      </c>
      <c r="N483" s="2">
        <v>3073.0</v>
      </c>
      <c r="O483" s="36" t="s">
        <v>546</v>
      </c>
      <c r="P483" s="37">
        <v>46190.0</v>
      </c>
      <c r="Q483" s="38"/>
      <c r="R483" s="38"/>
      <c r="S483" s="38"/>
      <c r="T483" s="38"/>
      <c r="U483" s="38"/>
      <c r="V483" s="38"/>
    </row>
    <row r="484">
      <c r="A484" s="75">
        <v>46085.0</v>
      </c>
      <c r="B484" s="27" t="s">
        <v>345</v>
      </c>
      <c r="C484" s="27">
        <v>8.86618177071E11</v>
      </c>
      <c r="D484" s="28" t="s">
        <v>67</v>
      </c>
      <c r="E484" s="27">
        <v>1.0</v>
      </c>
      <c r="F484" s="109" t="s">
        <v>35</v>
      </c>
      <c r="G484" s="35" t="s">
        <v>35</v>
      </c>
      <c r="H484" s="92">
        <v>10086.0</v>
      </c>
      <c r="I484" s="97" t="str">
        <f t="shared" si="14"/>
        <v>10086-GSB-N/A</v>
      </c>
      <c r="J484" s="48" t="s">
        <v>544</v>
      </c>
      <c r="K484" s="27" t="s">
        <v>152</v>
      </c>
      <c r="L484" s="34">
        <v>46185.0</v>
      </c>
      <c r="M484" s="35" t="s">
        <v>60</v>
      </c>
      <c r="N484" s="2">
        <v>3090.0</v>
      </c>
      <c r="O484" s="36" t="s">
        <v>891</v>
      </c>
      <c r="P484" s="63">
        <v>46248.0</v>
      </c>
      <c r="Q484" s="38"/>
      <c r="R484" s="38"/>
      <c r="S484" s="38"/>
      <c r="T484" s="38"/>
      <c r="U484" s="38"/>
      <c r="V484" s="38"/>
    </row>
    <row r="485">
      <c r="A485" s="75">
        <v>46164.0</v>
      </c>
      <c r="B485" s="27">
        <v>1332601.0</v>
      </c>
      <c r="C485" s="27" t="s">
        <v>682</v>
      </c>
      <c r="D485" s="28" t="s">
        <v>33</v>
      </c>
      <c r="E485" s="25">
        <v>1.0</v>
      </c>
      <c r="F485" s="109" t="s">
        <v>35</v>
      </c>
      <c r="G485" s="27" t="s">
        <v>35</v>
      </c>
      <c r="H485" s="28" t="s">
        <v>35</v>
      </c>
      <c r="I485" s="70" t="str">
        <f t="shared" si="14"/>
        <v>N/A-GSB-N/A</v>
      </c>
      <c r="J485" s="31" t="s">
        <v>892</v>
      </c>
      <c r="K485" s="27" t="s">
        <v>747</v>
      </c>
      <c r="L485" s="120">
        <v>46185.0</v>
      </c>
      <c r="M485" s="35" t="s">
        <v>139</v>
      </c>
      <c r="N485" s="2">
        <v>3262.0</v>
      </c>
      <c r="O485" s="36" t="s">
        <v>893</v>
      </c>
      <c r="P485" s="63">
        <v>6707855.0</v>
      </c>
      <c r="Q485" s="38"/>
      <c r="R485" s="38"/>
      <c r="S485" s="38"/>
      <c r="T485" s="38"/>
      <c r="U485" s="38"/>
      <c r="V485" s="38"/>
    </row>
    <row r="486">
      <c r="A486" s="75">
        <v>46184.0</v>
      </c>
      <c r="B486" s="27" t="s">
        <v>621</v>
      </c>
      <c r="C486" s="27" t="s">
        <v>327</v>
      </c>
      <c r="D486" s="28" t="s">
        <v>328</v>
      </c>
      <c r="E486" s="27">
        <v>1.0</v>
      </c>
      <c r="F486" s="27" t="s">
        <v>894</v>
      </c>
      <c r="G486" s="27" t="s">
        <v>895</v>
      </c>
      <c r="H486" s="28">
        <v>4193.0</v>
      </c>
      <c r="I486" s="30" t="str">
        <f>CONCATENATE(H486,"-","GSB","-",F486)</f>
        <v>4193-GSB-SDS/1032213</v>
      </c>
      <c r="J486" s="31" t="s">
        <v>892</v>
      </c>
      <c r="K486" s="27" t="s">
        <v>747</v>
      </c>
      <c r="L486" s="120">
        <v>46185.0</v>
      </c>
      <c r="M486" s="35" t="s">
        <v>139</v>
      </c>
      <c r="N486" s="2">
        <v>2656.0</v>
      </c>
      <c r="O486" s="36" t="s">
        <v>896</v>
      </c>
      <c r="P486" s="63">
        <v>46190.0</v>
      </c>
      <c r="Q486" s="38"/>
      <c r="R486" s="38"/>
      <c r="S486" s="38"/>
      <c r="T486" s="38"/>
      <c r="U486" s="38"/>
      <c r="V486" s="38"/>
    </row>
    <row r="487">
      <c r="A487" s="75">
        <v>46184.0</v>
      </c>
      <c r="B487" s="27" t="s">
        <v>35</v>
      </c>
      <c r="C487" s="27" t="s">
        <v>35</v>
      </c>
      <c r="D487" s="28" t="s">
        <v>31</v>
      </c>
      <c r="E487" s="27">
        <v>1.0</v>
      </c>
      <c r="F487" s="109" t="s">
        <v>35</v>
      </c>
      <c r="G487" s="27" t="s">
        <v>35</v>
      </c>
      <c r="H487" s="28">
        <v>10258.0</v>
      </c>
      <c r="I487" s="30" t="str">
        <f t="shared" ref="I487:I493" si="15">CONCATENATE(H487,"-","GSB","-",G487)</f>
        <v>10258-GSB-N/A</v>
      </c>
      <c r="J487" s="27" t="s">
        <v>897</v>
      </c>
      <c r="K487" s="31" t="s">
        <v>270</v>
      </c>
      <c r="L487" s="120">
        <v>46190.0</v>
      </c>
      <c r="M487" s="35" t="s">
        <v>139</v>
      </c>
      <c r="N487" s="2">
        <v>3260.0</v>
      </c>
      <c r="O487" s="36" t="s">
        <v>898</v>
      </c>
      <c r="P487" s="63">
        <v>46195.0</v>
      </c>
      <c r="Q487" s="38"/>
      <c r="R487" s="38"/>
      <c r="S487" s="38"/>
      <c r="T487" s="38"/>
      <c r="U487" s="38"/>
      <c r="V487" s="38"/>
    </row>
    <row r="488">
      <c r="A488" s="75">
        <v>46184.0</v>
      </c>
      <c r="B488" s="27" t="s">
        <v>35</v>
      </c>
      <c r="C488" s="27" t="s">
        <v>35</v>
      </c>
      <c r="D488" s="28" t="s">
        <v>31</v>
      </c>
      <c r="E488" s="27">
        <v>1.0</v>
      </c>
      <c r="F488" s="109" t="s">
        <v>35</v>
      </c>
      <c r="G488" s="27" t="s">
        <v>35</v>
      </c>
      <c r="H488" s="28">
        <v>10257.0</v>
      </c>
      <c r="I488" s="30" t="str">
        <f t="shared" si="15"/>
        <v>10257-GSB-N/A</v>
      </c>
      <c r="J488" s="27" t="s">
        <v>897</v>
      </c>
      <c r="K488" s="31" t="s">
        <v>270</v>
      </c>
      <c r="L488" s="120">
        <v>46190.0</v>
      </c>
      <c r="M488" s="35" t="s">
        <v>139</v>
      </c>
      <c r="N488" s="2">
        <v>3262.0</v>
      </c>
      <c r="O488" s="36" t="s">
        <v>893</v>
      </c>
      <c r="P488" s="63">
        <v>6707855.0</v>
      </c>
      <c r="Q488" s="38"/>
      <c r="R488" s="38"/>
      <c r="S488" s="38"/>
      <c r="T488" s="38"/>
      <c r="U488" s="38"/>
      <c r="V488" s="38"/>
    </row>
    <row r="489">
      <c r="A489" s="75">
        <v>46174.0</v>
      </c>
      <c r="B489" s="27" t="s">
        <v>758</v>
      </c>
      <c r="C489" s="27" t="s">
        <v>35</v>
      </c>
      <c r="D489" s="28" t="s">
        <v>759</v>
      </c>
      <c r="E489" s="27">
        <v>1.0</v>
      </c>
      <c r="F489" s="109" t="s">
        <v>35</v>
      </c>
      <c r="G489" s="27">
        <v>9.208518177698E16</v>
      </c>
      <c r="H489" s="28">
        <v>10194.0</v>
      </c>
      <c r="I489" s="30" t="str">
        <f t="shared" si="15"/>
        <v>10194-GSB-92085181776980000</v>
      </c>
      <c r="J489" s="27" t="s">
        <v>897</v>
      </c>
      <c r="K489" s="31" t="s">
        <v>270</v>
      </c>
      <c r="L489" s="120">
        <v>46190.0</v>
      </c>
      <c r="M489" s="35" t="s">
        <v>139</v>
      </c>
      <c r="N489" s="2">
        <v>3262.0</v>
      </c>
      <c r="O489" s="36" t="s">
        <v>893</v>
      </c>
      <c r="P489" s="63">
        <v>6707855.0</v>
      </c>
      <c r="Q489" s="38"/>
      <c r="R489" s="38"/>
      <c r="S489" s="38"/>
      <c r="T489" s="38"/>
      <c r="U489" s="38"/>
      <c r="V489" s="38"/>
    </row>
    <row r="490">
      <c r="A490" s="75">
        <v>46184.0</v>
      </c>
      <c r="B490" s="27">
        <v>59889.0</v>
      </c>
      <c r="C490" s="27" t="s">
        <v>362</v>
      </c>
      <c r="D490" s="28" t="s">
        <v>56</v>
      </c>
      <c r="E490" s="27">
        <v>1.0</v>
      </c>
      <c r="F490" s="109" t="s">
        <v>899</v>
      </c>
      <c r="G490" s="27" t="s">
        <v>900</v>
      </c>
      <c r="H490" s="28">
        <v>10264.0</v>
      </c>
      <c r="I490" s="30" t="str">
        <f t="shared" si="15"/>
        <v>10264-GSB-042275263716100056</v>
      </c>
      <c r="J490" s="27" t="s">
        <v>897</v>
      </c>
      <c r="K490" s="31" t="s">
        <v>270</v>
      </c>
      <c r="L490" s="120">
        <v>46190.0</v>
      </c>
      <c r="M490" s="35" t="s">
        <v>139</v>
      </c>
      <c r="N490" s="2">
        <v>3262.0</v>
      </c>
      <c r="O490" s="36" t="s">
        <v>893</v>
      </c>
      <c r="P490" s="63">
        <v>6707855.0</v>
      </c>
      <c r="Q490" s="38"/>
      <c r="R490" s="38"/>
      <c r="S490" s="38"/>
      <c r="T490" s="38"/>
      <c r="U490" s="38"/>
      <c r="V490" s="38"/>
    </row>
    <row r="491">
      <c r="A491" s="75">
        <v>46184.0</v>
      </c>
      <c r="B491" s="27" t="s">
        <v>35</v>
      </c>
      <c r="C491" s="27" t="s">
        <v>35</v>
      </c>
      <c r="D491" s="28" t="s">
        <v>333</v>
      </c>
      <c r="E491" s="27">
        <v>1.0</v>
      </c>
      <c r="F491" s="109" t="s">
        <v>35</v>
      </c>
      <c r="G491" s="27" t="s">
        <v>35</v>
      </c>
      <c r="H491" s="28">
        <v>10251.0</v>
      </c>
      <c r="I491" s="30" t="str">
        <f t="shared" si="15"/>
        <v>10251-GSB-N/A</v>
      </c>
      <c r="J491" s="27" t="s">
        <v>897</v>
      </c>
      <c r="K491" s="31" t="s">
        <v>270</v>
      </c>
      <c r="L491" s="120">
        <v>46190.0</v>
      </c>
      <c r="M491" s="35" t="s">
        <v>139</v>
      </c>
      <c r="N491" s="2">
        <v>3262.0</v>
      </c>
      <c r="O491" s="36" t="s">
        <v>893</v>
      </c>
      <c r="P491" s="63">
        <v>6707855.0</v>
      </c>
      <c r="Q491" s="38"/>
      <c r="R491" s="38"/>
      <c r="S491" s="38"/>
      <c r="T491" s="38"/>
      <c r="U491" s="38"/>
      <c r="V491" s="38"/>
    </row>
    <row r="492">
      <c r="A492" s="75">
        <v>46184.0</v>
      </c>
      <c r="B492" s="27" t="s">
        <v>35</v>
      </c>
      <c r="C492" s="27" t="s">
        <v>35</v>
      </c>
      <c r="D492" s="28" t="s">
        <v>31</v>
      </c>
      <c r="E492" s="27">
        <v>1.0</v>
      </c>
      <c r="F492" s="109" t="s">
        <v>35</v>
      </c>
      <c r="G492" s="27" t="s">
        <v>35</v>
      </c>
      <c r="H492" s="28">
        <v>10256.0</v>
      </c>
      <c r="I492" s="30" t="str">
        <f t="shared" si="15"/>
        <v>10256-GSB-N/A</v>
      </c>
      <c r="J492" s="27" t="s">
        <v>901</v>
      </c>
      <c r="K492" s="31" t="s">
        <v>270</v>
      </c>
      <c r="L492" s="120">
        <v>46190.0</v>
      </c>
      <c r="M492" s="35" t="s">
        <v>139</v>
      </c>
      <c r="N492" s="2">
        <v>3262.0</v>
      </c>
      <c r="O492" s="36" t="s">
        <v>893</v>
      </c>
      <c r="P492" s="63">
        <v>6707855.0</v>
      </c>
      <c r="Q492" s="38"/>
      <c r="R492" s="38"/>
      <c r="S492" s="38"/>
      <c r="T492" s="38"/>
      <c r="U492" s="38"/>
      <c r="V492" s="38"/>
    </row>
    <row r="493">
      <c r="A493" s="75">
        <v>46164.0</v>
      </c>
      <c r="B493" s="27">
        <v>1332601.0</v>
      </c>
      <c r="C493" s="27" t="s">
        <v>682</v>
      </c>
      <c r="D493" s="28" t="s">
        <v>33</v>
      </c>
      <c r="E493" s="25">
        <v>1.0</v>
      </c>
      <c r="F493" s="109" t="s">
        <v>35</v>
      </c>
      <c r="G493" s="27" t="s">
        <v>35</v>
      </c>
      <c r="H493" s="28" t="s">
        <v>35</v>
      </c>
      <c r="I493" s="70" t="str">
        <f t="shared" si="15"/>
        <v>N/A-GSB-N/A</v>
      </c>
      <c r="J493" s="27" t="s">
        <v>901</v>
      </c>
      <c r="K493" s="31" t="s">
        <v>270</v>
      </c>
      <c r="L493" s="120">
        <v>46190.0</v>
      </c>
      <c r="M493" s="35" t="s">
        <v>139</v>
      </c>
      <c r="N493" s="2"/>
      <c r="O493" s="51"/>
      <c r="P493" s="93"/>
      <c r="Q493" s="38"/>
      <c r="R493" s="38"/>
      <c r="S493" s="38"/>
      <c r="T493" s="38"/>
      <c r="U493" s="38"/>
      <c r="V493" s="38"/>
    </row>
    <row r="494">
      <c r="A494" s="75">
        <v>46184.0</v>
      </c>
      <c r="B494" s="27" t="s">
        <v>621</v>
      </c>
      <c r="C494" s="27" t="s">
        <v>617</v>
      </c>
      <c r="D494" s="28" t="s">
        <v>8</v>
      </c>
      <c r="E494" s="27">
        <v>1.0</v>
      </c>
      <c r="F494" s="27" t="s">
        <v>902</v>
      </c>
      <c r="G494" s="109" t="s">
        <v>35</v>
      </c>
      <c r="H494" s="28">
        <v>10366.0</v>
      </c>
      <c r="I494" s="30" t="str">
        <f>CONCATENATE(H494,"-","GSB","-",F494)</f>
        <v>10366-GSB-SDS/1043466</v>
      </c>
      <c r="J494" s="27" t="s">
        <v>901</v>
      </c>
      <c r="K494" s="31" t="s">
        <v>270</v>
      </c>
      <c r="L494" s="120">
        <v>46190.0</v>
      </c>
      <c r="M494" s="35" t="s">
        <v>139</v>
      </c>
      <c r="N494" s="2">
        <v>3260.0</v>
      </c>
      <c r="O494" s="36" t="s">
        <v>898</v>
      </c>
      <c r="P494" s="63">
        <v>46195.0</v>
      </c>
      <c r="Q494" s="38"/>
      <c r="R494" s="38"/>
      <c r="S494" s="38"/>
      <c r="T494" s="38"/>
      <c r="U494" s="38"/>
      <c r="V494" s="38"/>
    </row>
    <row r="495">
      <c r="A495" s="75">
        <v>46189.0</v>
      </c>
      <c r="B495" s="27" t="s">
        <v>233</v>
      </c>
      <c r="C495" s="27">
        <v>4.998117557E9</v>
      </c>
      <c r="D495" s="28" t="s">
        <v>5</v>
      </c>
      <c r="E495" s="27">
        <v>1.0</v>
      </c>
      <c r="F495" s="27" t="s">
        <v>903</v>
      </c>
      <c r="G495" s="27" t="s">
        <v>904</v>
      </c>
      <c r="H495" s="28">
        <v>5583.0</v>
      </c>
      <c r="I495" s="30" t="str">
        <f t="shared" ref="I495:I503" si="16">CONCATENATE(H495,"-","GSB","-",G495)</f>
        <v>5583-GSB-092256847706150227</v>
      </c>
      <c r="J495" s="31" t="s">
        <v>905</v>
      </c>
      <c r="K495" s="27" t="s">
        <v>453</v>
      </c>
      <c r="L495" s="120">
        <v>46191.0</v>
      </c>
      <c r="M495" s="35" t="s">
        <v>139</v>
      </c>
      <c r="N495" s="2">
        <v>3179.0</v>
      </c>
      <c r="O495" s="36" t="s">
        <v>680</v>
      </c>
      <c r="P495" s="63">
        <v>46195.0</v>
      </c>
      <c r="Q495" s="38"/>
      <c r="R495" s="38"/>
      <c r="S495" s="38"/>
      <c r="T495" s="38"/>
      <c r="U495" s="38"/>
      <c r="V495" s="38"/>
    </row>
    <row r="496">
      <c r="A496" s="75">
        <v>46189.0</v>
      </c>
      <c r="B496" s="27" t="s">
        <v>233</v>
      </c>
      <c r="C496" s="27">
        <v>4.998117557E9</v>
      </c>
      <c r="D496" s="28" t="s">
        <v>5</v>
      </c>
      <c r="E496" s="27">
        <v>1.0</v>
      </c>
      <c r="F496" s="27" t="s">
        <v>906</v>
      </c>
      <c r="G496" s="27" t="s">
        <v>907</v>
      </c>
      <c r="H496" s="28">
        <v>5823.0</v>
      </c>
      <c r="I496" s="30" t="str">
        <f t="shared" si="16"/>
        <v>5823-GSB-092256847892120794</v>
      </c>
      <c r="J496" s="31" t="s">
        <v>905</v>
      </c>
      <c r="K496" s="27" t="s">
        <v>453</v>
      </c>
      <c r="L496" s="120">
        <v>46191.0</v>
      </c>
      <c r="M496" s="35" t="s">
        <v>139</v>
      </c>
      <c r="N496" s="2">
        <v>3179.0</v>
      </c>
      <c r="O496" s="36" t="s">
        <v>680</v>
      </c>
      <c r="P496" s="63">
        <v>46195.0</v>
      </c>
      <c r="Q496" s="38"/>
      <c r="R496" s="38"/>
      <c r="S496" s="38"/>
      <c r="T496" s="38"/>
      <c r="U496" s="38"/>
      <c r="V496" s="38"/>
    </row>
    <row r="497">
      <c r="A497" s="75">
        <v>46189.0</v>
      </c>
      <c r="B497" s="27" t="s">
        <v>233</v>
      </c>
      <c r="C497" s="27">
        <v>4.998117557E9</v>
      </c>
      <c r="D497" s="28" t="s">
        <v>5</v>
      </c>
      <c r="E497" s="27">
        <v>1.0</v>
      </c>
      <c r="F497" s="27" t="s">
        <v>908</v>
      </c>
      <c r="G497" s="27" t="s">
        <v>909</v>
      </c>
      <c r="H497" s="28">
        <v>4897.0</v>
      </c>
      <c r="I497" s="30" t="str">
        <f t="shared" si="16"/>
        <v>4897-GSB-092256847517520266</v>
      </c>
      <c r="J497" s="31" t="s">
        <v>905</v>
      </c>
      <c r="K497" s="27" t="s">
        <v>453</v>
      </c>
      <c r="L497" s="120">
        <v>46191.0</v>
      </c>
      <c r="M497" s="35" t="s">
        <v>139</v>
      </c>
      <c r="N497" s="2">
        <v>3179.0</v>
      </c>
      <c r="O497" s="36" t="s">
        <v>680</v>
      </c>
      <c r="P497" s="63">
        <v>46195.0</v>
      </c>
      <c r="Q497" s="38"/>
      <c r="R497" s="38"/>
      <c r="S497" s="38"/>
      <c r="T497" s="38"/>
      <c r="U497" s="38"/>
      <c r="V497" s="38"/>
    </row>
    <row r="498">
      <c r="A498" s="75">
        <v>46189.0</v>
      </c>
      <c r="B498" s="27" t="s">
        <v>233</v>
      </c>
      <c r="C498" s="27">
        <v>4.998117557E9</v>
      </c>
      <c r="D498" s="28" t="s">
        <v>5</v>
      </c>
      <c r="E498" s="27">
        <v>1.0</v>
      </c>
      <c r="F498" s="27" t="s">
        <v>910</v>
      </c>
      <c r="G498" s="27" t="s">
        <v>911</v>
      </c>
      <c r="H498" s="28">
        <v>5812.0</v>
      </c>
      <c r="I498" s="30" t="str">
        <f t="shared" si="16"/>
        <v>5812-GSB-092256847892120392</v>
      </c>
      <c r="J498" s="31" t="s">
        <v>905</v>
      </c>
      <c r="K498" s="27" t="s">
        <v>453</v>
      </c>
      <c r="L498" s="120">
        <v>46191.0</v>
      </c>
      <c r="M498" s="35" t="s">
        <v>139</v>
      </c>
      <c r="N498" s="2">
        <v>3179.0</v>
      </c>
      <c r="O498" s="36" t="s">
        <v>680</v>
      </c>
      <c r="P498" s="63">
        <v>46195.0</v>
      </c>
      <c r="Q498" s="38"/>
      <c r="R498" s="38"/>
      <c r="S498" s="38"/>
      <c r="T498" s="38"/>
      <c r="U498" s="38"/>
      <c r="V498" s="38"/>
    </row>
    <row r="499">
      <c r="A499" s="75">
        <v>46184.0</v>
      </c>
      <c r="B499" s="27">
        <v>59889.0</v>
      </c>
      <c r="C499" s="27" t="s">
        <v>362</v>
      </c>
      <c r="D499" s="28" t="s">
        <v>56</v>
      </c>
      <c r="E499" s="27">
        <v>1.0</v>
      </c>
      <c r="F499" s="109" t="s">
        <v>35</v>
      </c>
      <c r="G499" s="27" t="s">
        <v>912</v>
      </c>
      <c r="H499" s="28">
        <v>10263.0</v>
      </c>
      <c r="I499" s="30" t="str">
        <f t="shared" si="16"/>
        <v>10263-GSB-042275263716100057</v>
      </c>
      <c r="J499" s="27" t="s">
        <v>773</v>
      </c>
      <c r="K499" s="27" t="s">
        <v>85</v>
      </c>
      <c r="L499" s="120">
        <v>46191.0</v>
      </c>
      <c r="M499" s="35" t="s">
        <v>139</v>
      </c>
      <c r="N499" s="2">
        <v>3146.0</v>
      </c>
      <c r="O499" s="36" t="s">
        <v>773</v>
      </c>
      <c r="P499" s="63">
        <v>46192.0</v>
      </c>
      <c r="Q499" s="38"/>
      <c r="R499" s="38"/>
      <c r="S499" s="38"/>
      <c r="T499" s="38"/>
      <c r="U499" s="38"/>
      <c r="V499" s="38"/>
    </row>
    <row r="500">
      <c r="A500" s="75">
        <v>46184.0</v>
      </c>
      <c r="B500" s="27" t="s">
        <v>655</v>
      </c>
      <c r="C500" s="27" t="s">
        <v>292</v>
      </c>
      <c r="D500" s="28" t="s">
        <v>530</v>
      </c>
      <c r="E500" s="27">
        <v>1.0</v>
      </c>
      <c r="F500" s="27" t="s">
        <v>913</v>
      </c>
      <c r="G500" s="27" t="s">
        <v>914</v>
      </c>
      <c r="H500" s="28">
        <v>10379.0</v>
      </c>
      <c r="I500" s="30" t="str">
        <f t="shared" si="16"/>
        <v>10379-GSB-042174653819100075</v>
      </c>
      <c r="J500" s="27" t="s">
        <v>773</v>
      </c>
      <c r="K500" s="27" t="s">
        <v>85</v>
      </c>
      <c r="L500" s="120">
        <v>46191.0</v>
      </c>
      <c r="M500" s="35" t="s">
        <v>139</v>
      </c>
      <c r="N500" s="2">
        <v>3146.0</v>
      </c>
      <c r="O500" s="36" t="s">
        <v>773</v>
      </c>
      <c r="P500" s="63">
        <v>46192.0</v>
      </c>
      <c r="Q500" s="38"/>
      <c r="R500" s="38"/>
      <c r="S500" s="38"/>
      <c r="T500" s="38"/>
      <c r="U500" s="38"/>
      <c r="V500" s="38"/>
    </row>
    <row r="501">
      <c r="A501" s="75">
        <v>46184.0</v>
      </c>
      <c r="B501" s="27" t="s">
        <v>655</v>
      </c>
      <c r="C501" s="27" t="s">
        <v>292</v>
      </c>
      <c r="D501" s="28" t="s">
        <v>530</v>
      </c>
      <c r="E501" s="27">
        <v>1.0</v>
      </c>
      <c r="F501" s="27" t="s">
        <v>915</v>
      </c>
      <c r="G501" s="27" t="s">
        <v>916</v>
      </c>
      <c r="H501" s="28">
        <v>10380.0</v>
      </c>
      <c r="I501" s="30" t="str">
        <f t="shared" si="16"/>
        <v>10380-GSB-042174653819100077</v>
      </c>
      <c r="J501" s="27" t="s">
        <v>773</v>
      </c>
      <c r="K501" s="27" t="s">
        <v>85</v>
      </c>
      <c r="L501" s="120">
        <v>46191.0</v>
      </c>
      <c r="M501" s="35" t="s">
        <v>139</v>
      </c>
      <c r="N501" s="2">
        <v>3146.0</v>
      </c>
      <c r="O501" s="36" t="s">
        <v>773</v>
      </c>
      <c r="P501" s="63">
        <v>46192.0</v>
      </c>
      <c r="Q501" s="38"/>
      <c r="R501" s="38"/>
      <c r="S501" s="38"/>
      <c r="T501" s="38"/>
      <c r="U501" s="38"/>
      <c r="V501" s="38"/>
    </row>
    <row r="502">
      <c r="A502" s="75">
        <v>46132.0</v>
      </c>
      <c r="B502" s="27" t="s">
        <v>35</v>
      </c>
      <c r="C502" s="27" t="s">
        <v>202</v>
      </c>
      <c r="D502" s="28" t="s">
        <v>45</v>
      </c>
      <c r="E502" s="27">
        <v>1.0</v>
      </c>
      <c r="F502" s="109" t="s">
        <v>35</v>
      </c>
      <c r="G502" s="27" t="s">
        <v>203</v>
      </c>
      <c r="H502" s="28">
        <v>10166.0</v>
      </c>
      <c r="I502" s="30" t="str">
        <f t="shared" si="16"/>
        <v>10166-GSB-042259543919100006</v>
      </c>
      <c r="J502" s="31" t="s">
        <v>53</v>
      </c>
      <c r="K502" s="27" t="s">
        <v>152</v>
      </c>
      <c r="L502" s="120">
        <v>46192.0</v>
      </c>
      <c r="M502" s="35" t="s">
        <v>139</v>
      </c>
      <c r="N502" s="2">
        <v>3086.0</v>
      </c>
      <c r="O502" s="36" t="s">
        <v>917</v>
      </c>
      <c r="P502" s="63">
        <v>46233.0</v>
      </c>
      <c r="Q502" s="38"/>
      <c r="R502" s="38"/>
      <c r="S502" s="38"/>
      <c r="T502" s="38"/>
      <c r="U502" s="38"/>
      <c r="V502" s="38"/>
    </row>
    <row r="503">
      <c r="A503" s="75">
        <v>46182.0</v>
      </c>
      <c r="B503" s="27" t="s">
        <v>503</v>
      </c>
      <c r="C503" s="27" t="s">
        <v>581</v>
      </c>
      <c r="D503" s="28" t="s">
        <v>50</v>
      </c>
      <c r="E503" s="27">
        <v>1.0</v>
      </c>
      <c r="F503" s="109" t="s">
        <v>35</v>
      </c>
      <c r="G503" s="27" t="s">
        <v>918</v>
      </c>
      <c r="H503" s="28">
        <v>10214.0</v>
      </c>
      <c r="I503" s="30" t="str">
        <f t="shared" si="16"/>
        <v>10214-GSB-042164263916100886</v>
      </c>
      <c r="J503" s="31" t="s">
        <v>53</v>
      </c>
      <c r="K503" s="27" t="s">
        <v>152</v>
      </c>
      <c r="L503" s="120">
        <v>46192.0</v>
      </c>
      <c r="M503" s="35" t="s">
        <v>139</v>
      </c>
      <c r="N503" s="2">
        <v>3078.0</v>
      </c>
      <c r="O503" s="36" t="s">
        <v>737</v>
      </c>
      <c r="P503" s="37">
        <v>46204.0</v>
      </c>
      <c r="Q503" s="38"/>
      <c r="R503" s="38"/>
      <c r="S503" s="38"/>
      <c r="T503" s="38"/>
      <c r="U503" s="38"/>
      <c r="V503" s="38"/>
    </row>
    <row r="504">
      <c r="A504" s="75">
        <v>46184.0</v>
      </c>
      <c r="B504" s="27" t="s">
        <v>621</v>
      </c>
      <c r="C504" s="27" t="s">
        <v>617</v>
      </c>
      <c r="D504" s="28" t="s">
        <v>8</v>
      </c>
      <c r="E504" s="27">
        <v>1.0</v>
      </c>
      <c r="F504" s="27" t="s">
        <v>919</v>
      </c>
      <c r="G504" s="109" t="s">
        <v>35</v>
      </c>
      <c r="H504" s="28">
        <v>10367.0</v>
      </c>
      <c r="I504" s="30" t="str">
        <f>CONCATENATE(H504,"-","GSB","-",F504)</f>
        <v>10367-GSB-SDS/1043486</v>
      </c>
      <c r="J504" s="31" t="s">
        <v>53</v>
      </c>
      <c r="K504" s="27" t="s">
        <v>152</v>
      </c>
      <c r="L504" s="120">
        <v>46192.0</v>
      </c>
      <c r="M504" s="35" t="s">
        <v>139</v>
      </c>
      <c r="N504" s="2">
        <v>3077.0</v>
      </c>
      <c r="O504" s="36" t="s">
        <v>735</v>
      </c>
      <c r="P504" s="37">
        <v>46197.0</v>
      </c>
      <c r="Q504" s="38"/>
      <c r="R504" s="38"/>
      <c r="S504" s="38"/>
      <c r="T504" s="38"/>
      <c r="U504" s="38"/>
      <c r="V504" s="38"/>
    </row>
    <row r="505">
      <c r="A505" s="75">
        <v>46142.0</v>
      </c>
      <c r="B505" s="27">
        <v>2664.0</v>
      </c>
      <c r="C505" s="27">
        <v>7.709990800005E12</v>
      </c>
      <c r="D505" s="28" t="s">
        <v>566</v>
      </c>
      <c r="E505" s="27">
        <v>1.0</v>
      </c>
      <c r="F505" s="109" t="s">
        <v>35</v>
      </c>
      <c r="G505" s="27" t="s">
        <v>634</v>
      </c>
      <c r="H505" s="28" t="s">
        <v>35</v>
      </c>
      <c r="I505" s="30" t="str">
        <f t="shared" ref="I505:I514" si="17">CONCATENATE(H505,"-","GSB","-",G505)</f>
        <v>N/A-GSB-BLISTEL X 5</v>
      </c>
      <c r="J505" s="31" t="s">
        <v>53</v>
      </c>
      <c r="K505" s="27" t="s">
        <v>152</v>
      </c>
      <c r="L505" s="120">
        <v>46192.0</v>
      </c>
      <c r="M505" s="35" t="s">
        <v>139</v>
      </c>
      <c r="N505" s="2">
        <v>3085.0</v>
      </c>
      <c r="O505" s="36" t="s">
        <v>887</v>
      </c>
      <c r="P505" s="63">
        <v>46230.0</v>
      </c>
      <c r="Q505" s="38"/>
      <c r="R505" s="38"/>
      <c r="S505" s="38"/>
      <c r="T505" s="38"/>
      <c r="U505" s="38"/>
      <c r="V505" s="38"/>
    </row>
    <row r="506">
      <c r="A506" s="75">
        <v>46184.0</v>
      </c>
      <c r="B506" s="27" t="s">
        <v>35</v>
      </c>
      <c r="C506" s="27" t="s">
        <v>35</v>
      </c>
      <c r="D506" s="28" t="s">
        <v>333</v>
      </c>
      <c r="E506" s="27">
        <v>1.0</v>
      </c>
      <c r="F506" s="109" t="s">
        <v>35</v>
      </c>
      <c r="G506" s="27" t="s">
        <v>35</v>
      </c>
      <c r="H506" s="28">
        <v>10253.0</v>
      </c>
      <c r="I506" s="30" t="str">
        <f t="shared" si="17"/>
        <v>10253-GSB-N/A</v>
      </c>
      <c r="J506" s="31" t="s">
        <v>53</v>
      </c>
      <c r="K506" s="27" t="s">
        <v>152</v>
      </c>
      <c r="L506" s="120">
        <v>46192.0</v>
      </c>
      <c r="M506" s="35" t="s">
        <v>139</v>
      </c>
      <c r="N506" s="2">
        <v>3077.0</v>
      </c>
      <c r="O506" s="36" t="s">
        <v>735</v>
      </c>
      <c r="P506" s="37">
        <v>46197.0</v>
      </c>
      <c r="Q506" s="38"/>
      <c r="R506" s="38"/>
      <c r="S506" s="38"/>
      <c r="T506" s="38"/>
      <c r="U506" s="38"/>
      <c r="V506" s="38"/>
    </row>
    <row r="507">
      <c r="A507" s="75">
        <v>46184.0</v>
      </c>
      <c r="B507" s="27" t="s">
        <v>35</v>
      </c>
      <c r="C507" s="27" t="s">
        <v>35</v>
      </c>
      <c r="D507" s="28" t="s">
        <v>333</v>
      </c>
      <c r="E507" s="27">
        <v>1.0</v>
      </c>
      <c r="F507" s="109" t="s">
        <v>35</v>
      </c>
      <c r="G507" s="27" t="s">
        <v>35</v>
      </c>
      <c r="H507" s="28">
        <v>10254.0</v>
      </c>
      <c r="I507" s="30" t="str">
        <f t="shared" si="17"/>
        <v>10254-GSB-N/A</v>
      </c>
      <c r="J507" s="31" t="s">
        <v>53</v>
      </c>
      <c r="K507" s="27" t="s">
        <v>152</v>
      </c>
      <c r="L507" s="120">
        <v>46192.0</v>
      </c>
      <c r="M507" s="35" t="s">
        <v>139</v>
      </c>
      <c r="N507" s="2">
        <v>3078.0</v>
      </c>
      <c r="O507" s="36" t="s">
        <v>737</v>
      </c>
      <c r="P507" s="37">
        <v>46204.0</v>
      </c>
      <c r="Q507" s="38"/>
      <c r="R507" s="38"/>
      <c r="S507" s="38"/>
      <c r="T507" s="38"/>
      <c r="U507" s="38"/>
      <c r="V507" s="38"/>
    </row>
    <row r="508">
      <c r="A508" s="75">
        <v>46182.0</v>
      </c>
      <c r="B508" s="27" t="s">
        <v>503</v>
      </c>
      <c r="C508" s="27" t="s">
        <v>581</v>
      </c>
      <c r="D508" s="28" t="s">
        <v>50</v>
      </c>
      <c r="E508" s="27">
        <v>1.0</v>
      </c>
      <c r="F508" s="109" t="s">
        <v>35</v>
      </c>
      <c r="G508" s="27" t="s">
        <v>920</v>
      </c>
      <c r="H508" s="92">
        <v>10228.0</v>
      </c>
      <c r="I508" s="30" t="str">
        <f t="shared" si="17"/>
        <v>10228-GSB-042163657505100614</v>
      </c>
      <c r="J508" s="31" t="s">
        <v>921</v>
      </c>
      <c r="K508" s="27" t="s">
        <v>492</v>
      </c>
      <c r="L508" s="120">
        <v>46193.0</v>
      </c>
      <c r="M508" s="35" t="s">
        <v>139</v>
      </c>
      <c r="N508" s="2">
        <v>2699.0</v>
      </c>
      <c r="O508" s="36" t="s">
        <v>922</v>
      </c>
      <c r="P508" s="63">
        <v>46198.0</v>
      </c>
      <c r="Q508" s="38"/>
      <c r="R508" s="38"/>
      <c r="S508" s="38"/>
      <c r="T508" s="38"/>
      <c r="U508" s="38"/>
      <c r="V508" s="38"/>
    </row>
    <row r="509">
      <c r="A509" s="75">
        <v>46142.0</v>
      </c>
      <c r="B509" s="27">
        <v>2664.0</v>
      </c>
      <c r="C509" s="27">
        <v>7.709990800005E12</v>
      </c>
      <c r="D509" s="28" t="s">
        <v>566</v>
      </c>
      <c r="E509" s="27">
        <v>1.0</v>
      </c>
      <c r="F509" s="109" t="s">
        <v>35</v>
      </c>
      <c r="G509" s="27" t="s">
        <v>634</v>
      </c>
      <c r="H509" s="92" t="s">
        <v>35</v>
      </c>
      <c r="I509" s="30" t="str">
        <f t="shared" si="17"/>
        <v>N/A-GSB-BLISTEL X 5</v>
      </c>
      <c r="J509" s="31" t="s">
        <v>921</v>
      </c>
      <c r="K509" s="27" t="s">
        <v>492</v>
      </c>
      <c r="L509" s="120">
        <v>46193.0</v>
      </c>
      <c r="M509" s="35" t="s">
        <v>139</v>
      </c>
      <c r="N509" s="2">
        <v>2699.0</v>
      </c>
      <c r="O509" s="36" t="s">
        <v>922</v>
      </c>
      <c r="P509" s="63">
        <v>46198.0</v>
      </c>
      <c r="Q509" s="38"/>
      <c r="R509" s="38"/>
      <c r="S509" s="38"/>
      <c r="T509" s="38"/>
      <c r="U509" s="38"/>
      <c r="V509" s="38"/>
    </row>
    <row r="510">
      <c r="A510" s="75">
        <v>46141.0</v>
      </c>
      <c r="B510" s="27" t="s">
        <v>35</v>
      </c>
      <c r="C510" s="27" t="s">
        <v>35</v>
      </c>
      <c r="D510" s="28" t="s">
        <v>923</v>
      </c>
      <c r="E510" s="27">
        <v>1.0</v>
      </c>
      <c r="F510" s="109" t="s">
        <v>35</v>
      </c>
      <c r="G510" s="27" t="s">
        <v>35</v>
      </c>
      <c r="H510" s="92">
        <v>10128.0</v>
      </c>
      <c r="I510" s="30" t="str">
        <f t="shared" si="17"/>
        <v>10128-GSB-N/A</v>
      </c>
      <c r="J510" s="31" t="s">
        <v>921</v>
      </c>
      <c r="K510" s="27" t="s">
        <v>492</v>
      </c>
      <c r="L510" s="120">
        <v>46193.0</v>
      </c>
      <c r="M510" s="35" t="s">
        <v>139</v>
      </c>
      <c r="N510" s="106" t="s">
        <v>829</v>
      </c>
      <c r="O510" s="53" t="s">
        <v>829</v>
      </c>
      <c r="P510" s="53" t="s">
        <v>829</v>
      </c>
      <c r="Q510" s="38"/>
      <c r="R510" s="38"/>
      <c r="S510" s="38"/>
      <c r="T510" s="38"/>
      <c r="U510" s="38"/>
      <c r="V510" s="38"/>
    </row>
    <row r="511">
      <c r="A511" s="75">
        <v>46189.0</v>
      </c>
      <c r="B511" s="27" t="s">
        <v>233</v>
      </c>
      <c r="C511" s="27">
        <v>4.998117557E9</v>
      </c>
      <c r="D511" s="28" t="s">
        <v>5</v>
      </c>
      <c r="E511" s="27">
        <v>1.0</v>
      </c>
      <c r="F511" s="27" t="s">
        <v>924</v>
      </c>
      <c r="G511" s="27" t="s">
        <v>925</v>
      </c>
      <c r="H511" s="92">
        <v>5786.0</v>
      </c>
      <c r="I511" s="30" t="str">
        <f t="shared" si="17"/>
        <v>5786-GSB-092256847892120805</v>
      </c>
      <c r="J511" s="31" t="s">
        <v>926</v>
      </c>
      <c r="K511" s="27" t="s">
        <v>152</v>
      </c>
      <c r="L511" s="120">
        <v>46193.0</v>
      </c>
      <c r="M511" s="35" t="s">
        <v>139</v>
      </c>
      <c r="N511" s="62">
        <v>3081.0</v>
      </c>
      <c r="O511" s="102" t="s">
        <v>927</v>
      </c>
      <c r="P511" s="58">
        <v>46212.0</v>
      </c>
      <c r="Q511" s="38"/>
      <c r="R511" s="38"/>
      <c r="S511" s="38"/>
      <c r="T511" s="38"/>
      <c r="U511" s="38"/>
      <c r="V511" s="38"/>
    </row>
    <row r="512">
      <c r="A512" s="75">
        <v>46189.0</v>
      </c>
      <c r="B512" s="27" t="s">
        <v>233</v>
      </c>
      <c r="C512" s="27">
        <v>4.998117557E9</v>
      </c>
      <c r="D512" s="28" t="s">
        <v>5</v>
      </c>
      <c r="E512" s="27">
        <v>1.0</v>
      </c>
      <c r="F512" s="27" t="s">
        <v>928</v>
      </c>
      <c r="G512" s="27" t="s">
        <v>929</v>
      </c>
      <c r="H512" s="92">
        <v>5560.0</v>
      </c>
      <c r="I512" s="30" t="str">
        <f t="shared" si="17"/>
        <v>5560-GSB-092256847706150363</v>
      </c>
      <c r="J512" s="31" t="s">
        <v>926</v>
      </c>
      <c r="K512" s="27" t="s">
        <v>152</v>
      </c>
      <c r="L512" s="120">
        <v>46193.0</v>
      </c>
      <c r="M512" s="35" t="s">
        <v>139</v>
      </c>
      <c r="N512" s="62">
        <v>3081.0</v>
      </c>
      <c r="O512" s="102" t="s">
        <v>927</v>
      </c>
      <c r="P512" s="58">
        <v>46212.0</v>
      </c>
      <c r="Q512" s="38"/>
      <c r="R512" s="38"/>
      <c r="S512" s="38"/>
      <c r="T512" s="38"/>
      <c r="U512" s="38"/>
      <c r="V512" s="38"/>
    </row>
    <row r="513">
      <c r="A513" s="23">
        <v>45897.0</v>
      </c>
      <c r="B513" s="27" t="s">
        <v>35</v>
      </c>
      <c r="C513" s="27">
        <v>7.81410006218E11</v>
      </c>
      <c r="D513" s="28" t="s">
        <v>37</v>
      </c>
      <c r="E513" s="27">
        <v>1.0</v>
      </c>
      <c r="F513" s="109" t="s">
        <v>35</v>
      </c>
      <c r="G513" s="27" t="s">
        <v>35</v>
      </c>
      <c r="H513" s="92">
        <v>10183.0</v>
      </c>
      <c r="I513" s="30" t="str">
        <f t="shared" si="17"/>
        <v>10183-GSB-N/A</v>
      </c>
      <c r="J513" s="31" t="s">
        <v>926</v>
      </c>
      <c r="K513" s="27" t="s">
        <v>152</v>
      </c>
      <c r="L513" s="120">
        <v>46193.0</v>
      </c>
      <c r="M513" s="35" t="s">
        <v>139</v>
      </c>
      <c r="N513" s="62">
        <v>3081.0</v>
      </c>
      <c r="O513" s="102" t="s">
        <v>927</v>
      </c>
      <c r="P513" s="58">
        <v>46212.0</v>
      </c>
      <c r="Q513" s="38"/>
      <c r="R513" s="38"/>
      <c r="S513" s="38"/>
      <c r="T513" s="38"/>
      <c r="U513" s="38"/>
      <c r="V513" s="38"/>
    </row>
    <row r="514">
      <c r="A514" s="75">
        <v>46141.0</v>
      </c>
      <c r="B514" s="27" t="s">
        <v>35</v>
      </c>
      <c r="C514" s="25">
        <v>4.998155081E9</v>
      </c>
      <c r="D514" s="70" t="s">
        <v>264</v>
      </c>
      <c r="E514" s="27">
        <v>1.0</v>
      </c>
      <c r="F514" s="109" t="s">
        <v>35</v>
      </c>
      <c r="G514" s="27" t="s">
        <v>322</v>
      </c>
      <c r="H514" s="92">
        <v>7165.0</v>
      </c>
      <c r="I514" s="30" t="str">
        <f t="shared" si="17"/>
        <v>7165-GSB-092051353971120124</v>
      </c>
      <c r="J514" s="31" t="s">
        <v>926</v>
      </c>
      <c r="K514" s="27" t="s">
        <v>152</v>
      </c>
      <c r="L514" s="120">
        <v>46193.0</v>
      </c>
      <c r="M514" s="35" t="s">
        <v>139</v>
      </c>
      <c r="N514" s="2">
        <v>3081.0</v>
      </c>
      <c r="O514" s="36" t="s">
        <v>927</v>
      </c>
      <c r="P514" s="63">
        <v>46212.0</v>
      </c>
      <c r="Q514" s="38"/>
      <c r="R514" s="38"/>
      <c r="S514" s="38"/>
      <c r="T514" s="38"/>
      <c r="U514" s="38"/>
      <c r="V514" s="38"/>
    </row>
    <row r="515">
      <c r="A515" s="75">
        <v>46184.0</v>
      </c>
      <c r="B515" s="27" t="s">
        <v>35</v>
      </c>
      <c r="C515" s="27" t="s">
        <v>877</v>
      </c>
      <c r="D515" s="92" t="s">
        <v>878</v>
      </c>
      <c r="E515" s="27">
        <v>1.0</v>
      </c>
      <c r="F515" s="27" t="s">
        <v>930</v>
      </c>
      <c r="G515" s="119" t="s">
        <v>931</v>
      </c>
      <c r="H515" s="92">
        <v>1579.0</v>
      </c>
      <c r="I515" s="97" t="str">
        <f t="shared" ref="I515:I516" si="18">CONCATENATE(H515,"-","GSB","-",F515)</f>
        <v>1579-GSB-SDS/1026778</v>
      </c>
      <c r="J515" s="48" t="s">
        <v>932</v>
      </c>
      <c r="K515" s="27" t="s">
        <v>85</v>
      </c>
      <c r="L515" s="120">
        <v>46191.0</v>
      </c>
      <c r="M515" s="35" t="s">
        <v>139</v>
      </c>
      <c r="N515" s="2">
        <v>3147.0</v>
      </c>
      <c r="O515" s="36" t="s">
        <v>773</v>
      </c>
      <c r="P515" s="63">
        <v>46192.0</v>
      </c>
      <c r="Q515" s="38"/>
      <c r="R515" s="38"/>
      <c r="S515" s="38"/>
      <c r="T515" s="38"/>
      <c r="U515" s="38"/>
      <c r="V515" s="38"/>
    </row>
    <row r="516">
      <c r="A516" s="75">
        <v>46184.0</v>
      </c>
      <c r="B516" s="27" t="s">
        <v>621</v>
      </c>
      <c r="C516" s="27" t="s">
        <v>327</v>
      </c>
      <c r="D516" s="28" t="s">
        <v>328</v>
      </c>
      <c r="E516" s="27">
        <v>1.0</v>
      </c>
      <c r="F516" s="27" t="s">
        <v>933</v>
      </c>
      <c r="G516" s="27" t="s">
        <v>934</v>
      </c>
      <c r="H516" s="92">
        <v>5834.0</v>
      </c>
      <c r="I516" s="30" t="str">
        <f t="shared" si="18"/>
        <v>5834-GSB-SDS/1037025</v>
      </c>
      <c r="J516" s="27" t="s">
        <v>935</v>
      </c>
      <c r="K516" s="27" t="s">
        <v>55</v>
      </c>
      <c r="L516" s="120">
        <v>46195.0</v>
      </c>
      <c r="M516" s="35" t="s">
        <v>139</v>
      </c>
      <c r="N516" s="2">
        <v>3492.0</v>
      </c>
      <c r="O516" s="36" t="s">
        <v>936</v>
      </c>
      <c r="P516" s="63">
        <v>46200.0</v>
      </c>
      <c r="Q516" s="38"/>
      <c r="R516" s="38"/>
      <c r="S516" s="38"/>
      <c r="T516" s="38"/>
      <c r="U516" s="38"/>
      <c r="V516" s="38"/>
    </row>
    <row r="517">
      <c r="A517" s="75">
        <v>46189.0</v>
      </c>
      <c r="B517" s="27" t="s">
        <v>233</v>
      </c>
      <c r="C517" s="27">
        <v>4.998117557E9</v>
      </c>
      <c r="D517" s="28" t="s">
        <v>5</v>
      </c>
      <c r="E517" s="27">
        <v>1.0</v>
      </c>
      <c r="F517" s="27" t="s">
        <v>937</v>
      </c>
      <c r="G517" s="27" t="s">
        <v>938</v>
      </c>
      <c r="H517" s="92">
        <v>5815.0</v>
      </c>
      <c r="I517" s="30" t="str">
        <f t="shared" ref="I517:I539" si="19">CONCATENATE(H517,"-","GSB","-",G517)</f>
        <v>5815-GSB-092256847892120258</v>
      </c>
      <c r="J517" s="31" t="s">
        <v>939</v>
      </c>
      <c r="K517" s="27" t="s">
        <v>940</v>
      </c>
      <c r="L517" s="120">
        <v>46199.0</v>
      </c>
      <c r="M517" s="35" t="s">
        <v>139</v>
      </c>
      <c r="N517" s="2">
        <v>3086.0</v>
      </c>
      <c r="O517" s="36" t="s">
        <v>917</v>
      </c>
      <c r="P517" s="63">
        <v>46233.0</v>
      </c>
      <c r="Q517" s="38"/>
      <c r="R517" s="38"/>
      <c r="S517" s="38"/>
      <c r="T517" s="38"/>
      <c r="U517" s="38"/>
      <c r="V517" s="38"/>
    </row>
    <row r="518">
      <c r="A518" s="75">
        <v>46189.0</v>
      </c>
      <c r="B518" s="27" t="s">
        <v>233</v>
      </c>
      <c r="C518" s="27">
        <v>4.998117557E9</v>
      </c>
      <c r="D518" s="28" t="s">
        <v>5</v>
      </c>
      <c r="E518" s="27">
        <v>1.0</v>
      </c>
      <c r="F518" s="27" t="s">
        <v>941</v>
      </c>
      <c r="G518" s="27" t="s">
        <v>942</v>
      </c>
      <c r="H518" s="92">
        <v>4924.0</v>
      </c>
      <c r="I518" s="30" t="str">
        <f t="shared" si="19"/>
        <v>4924-GSB-092256843997580710</v>
      </c>
      <c r="J518" s="31" t="s">
        <v>939</v>
      </c>
      <c r="K518" s="27" t="s">
        <v>940</v>
      </c>
      <c r="L518" s="120">
        <v>46199.0</v>
      </c>
      <c r="M518" s="35" t="s">
        <v>139</v>
      </c>
      <c r="N518" s="62">
        <v>31285.0</v>
      </c>
      <c r="O518" s="62" t="s">
        <v>529</v>
      </c>
      <c r="P518" s="58">
        <v>46206.0</v>
      </c>
      <c r="Q518" s="38"/>
      <c r="R518" s="38"/>
      <c r="S518" s="38"/>
      <c r="T518" s="38"/>
      <c r="U518" s="38"/>
      <c r="V518" s="38"/>
    </row>
    <row r="519">
      <c r="A519" s="75">
        <v>46189.0</v>
      </c>
      <c r="B519" s="27" t="s">
        <v>233</v>
      </c>
      <c r="C519" s="27">
        <v>4.998117557E9</v>
      </c>
      <c r="D519" s="28" t="s">
        <v>5</v>
      </c>
      <c r="E519" s="27">
        <v>1.0</v>
      </c>
      <c r="F519" s="27" t="s">
        <v>943</v>
      </c>
      <c r="G519" s="27" t="s">
        <v>944</v>
      </c>
      <c r="H519" s="92">
        <v>5124.0</v>
      </c>
      <c r="I519" s="30" t="str">
        <f t="shared" si="19"/>
        <v>5124-GSB-092256843997580488</v>
      </c>
      <c r="J519" s="31" t="s">
        <v>939</v>
      </c>
      <c r="K519" s="27" t="s">
        <v>940</v>
      </c>
      <c r="L519" s="120">
        <v>46199.0</v>
      </c>
      <c r="M519" s="35" t="s">
        <v>139</v>
      </c>
      <c r="N519" s="2">
        <v>3086.0</v>
      </c>
      <c r="O519" s="36" t="s">
        <v>917</v>
      </c>
      <c r="P519" s="63">
        <v>46233.0</v>
      </c>
      <c r="Q519" s="38"/>
      <c r="R519" s="38"/>
      <c r="S519" s="38"/>
      <c r="T519" s="38"/>
      <c r="U519" s="38"/>
      <c r="V519" s="38"/>
    </row>
    <row r="520">
      <c r="A520" s="75">
        <v>46189.0</v>
      </c>
      <c r="B520" s="27" t="s">
        <v>233</v>
      </c>
      <c r="C520" s="27">
        <v>4.998117557E9</v>
      </c>
      <c r="D520" s="28" t="s">
        <v>5</v>
      </c>
      <c r="E520" s="27">
        <v>1.0</v>
      </c>
      <c r="F520" s="27" t="s">
        <v>945</v>
      </c>
      <c r="G520" s="27" t="s">
        <v>946</v>
      </c>
      <c r="H520" s="92">
        <v>5792.0</v>
      </c>
      <c r="I520" s="30" t="str">
        <f t="shared" si="19"/>
        <v>5792-GSB-092256847892120803</v>
      </c>
      <c r="J520" s="31" t="s">
        <v>939</v>
      </c>
      <c r="K520" s="27" t="s">
        <v>940</v>
      </c>
      <c r="L520" s="120">
        <v>46199.0</v>
      </c>
      <c r="M520" s="35" t="s">
        <v>139</v>
      </c>
      <c r="N520" s="62">
        <v>31285.0</v>
      </c>
      <c r="O520" s="62" t="s">
        <v>529</v>
      </c>
      <c r="P520" s="58">
        <v>46206.0</v>
      </c>
      <c r="Q520" s="38"/>
      <c r="R520" s="38"/>
      <c r="S520" s="38"/>
      <c r="T520" s="38"/>
      <c r="U520" s="38"/>
      <c r="V520" s="38"/>
    </row>
    <row r="521">
      <c r="A521" s="75">
        <v>46189.0</v>
      </c>
      <c r="B521" s="27" t="s">
        <v>233</v>
      </c>
      <c r="C521" s="27">
        <v>4.998117557E9</v>
      </c>
      <c r="D521" s="28" t="s">
        <v>5</v>
      </c>
      <c r="E521" s="27">
        <v>1.0</v>
      </c>
      <c r="F521" s="27" t="s">
        <v>947</v>
      </c>
      <c r="G521" s="27" t="s">
        <v>948</v>
      </c>
      <c r="H521" s="92">
        <v>4920.0</v>
      </c>
      <c r="I521" s="30" t="str">
        <f t="shared" si="19"/>
        <v>4920-GSB-092256843997580706</v>
      </c>
      <c r="J521" s="31" t="s">
        <v>939</v>
      </c>
      <c r="K521" s="27" t="s">
        <v>940</v>
      </c>
      <c r="L521" s="120">
        <v>46199.0</v>
      </c>
      <c r="M521" s="35" t="s">
        <v>139</v>
      </c>
      <c r="N521" s="62">
        <v>31285.0</v>
      </c>
      <c r="O521" s="62" t="s">
        <v>529</v>
      </c>
      <c r="P521" s="58">
        <v>46206.0</v>
      </c>
      <c r="Q521" s="38"/>
      <c r="R521" s="38"/>
      <c r="S521" s="38"/>
      <c r="T521" s="38"/>
      <c r="U521" s="38"/>
      <c r="V521" s="38"/>
    </row>
    <row r="522">
      <c r="A522" s="75">
        <v>46189.0</v>
      </c>
      <c r="B522" s="27" t="s">
        <v>233</v>
      </c>
      <c r="C522" s="27">
        <v>4.998117557E9</v>
      </c>
      <c r="D522" s="28" t="s">
        <v>5</v>
      </c>
      <c r="E522" s="27">
        <v>1.0</v>
      </c>
      <c r="F522" s="27" t="s">
        <v>949</v>
      </c>
      <c r="G522" s="27" t="s">
        <v>950</v>
      </c>
      <c r="H522" s="92">
        <v>5784.0</v>
      </c>
      <c r="I522" s="30" t="str">
        <f t="shared" si="19"/>
        <v>5784-GSB-092256847892120807</v>
      </c>
      <c r="J522" s="31" t="s">
        <v>939</v>
      </c>
      <c r="K522" s="27" t="s">
        <v>940</v>
      </c>
      <c r="L522" s="120">
        <v>46199.0</v>
      </c>
      <c r="M522" s="35" t="s">
        <v>139</v>
      </c>
      <c r="N522" s="62">
        <v>31285.0</v>
      </c>
      <c r="O522" s="62" t="s">
        <v>529</v>
      </c>
      <c r="P522" s="58">
        <v>46206.0</v>
      </c>
      <c r="Q522" s="38"/>
      <c r="R522" s="38"/>
      <c r="S522" s="38"/>
      <c r="T522" s="38"/>
      <c r="U522" s="38"/>
      <c r="V522" s="38"/>
    </row>
    <row r="523">
      <c r="A523" s="75">
        <v>46189.0</v>
      </c>
      <c r="B523" s="27" t="s">
        <v>233</v>
      </c>
      <c r="C523" s="27">
        <v>4.998117557E9</v>
      </c>
      <c r="D523" s="28" t="s">
        <v>5</v>
      </c>
      <c r="E523" s="27">
        <v>1.0</v>
      </c>
      <c r="F523" s="27" t="s">
        <v>951</v>
      </c>
      <c r="G523" s="27" t="s">
        <v>952</v>
      </c>
      <c r="H523" s="92">
        <v>5781.0</v>
      </c>
      <c r="I523" s="30" t="str">
        <f t="shared" si="19"/>
        <v>5781-GSB-092256847892120801</v>
      </c>
      <c r="J523" s="31" t="s">
        <v>939</v>
      </c>
      <c r="K523" s="27" t="s">
        <v>940</v>
      </c>
      <c r="L523" s="120">
        <v>46199.0</v>
      </c>
      <c r="M523" s="35" t="s">
        <v>139</v>
      </c>
      <c r="N523" s="62">
        <v>31285.0</v>
      </c>
      <c r="O523" s="62" t="s">
        <v>529</v>
      </c>
      <c r="P523" s="58">
        <v>46206.0</v>
      </c>
      <c r="Q523" s="38"/>
      <c r="R523" s="38"/>
      <c r="S523" s="38"/>
      <c r="T523" s="38"/>
      <c r="U523" s="38"/>
      <c r="V523" s="38"/>
    </row>
    <row r="524">
      <c r="A524" s="75">
        <v>46189.0</v>
      </c>
      <c r="B524" s="27" t="s">
        <v>233</v>
      </c>
      <c r="C524" s="27">
        <v>4.998117557E9</v>
      </c>
      <c r="D524" s="28" t="s">
        <v>5</v>
      </c>
      <c r="E524" s="27">
        <v>1.0</v>
      </c>
      <c r="F524" s="27" t="s">
        <v>953</v>
      </c>
      <c r="G524" s="27" t="s">
        <v>954</v>
      </c>
      <c r="H524" s="92">
        <v>4930.0</v>
      </c>
      <c r="I524" s="30" t="str">
        <f t="shared" si="19"/>
        <v>4930-GSB-092256847517520209</v>
      </c>
      <c r="J524" s="31" t="s">
        <v>939</v>
      </c>
      <c r="K524" s="27" t="s">
        <v>940</v>
      </c>
      <c r="L524" s="120">
        <v>46199.0</v>
      </c>
      <c r="M524" s="35" t="s">
        <v>139</v>
      </c>
      <c r="N524" s="62">
        <v>31285.0</v>
      </c>
      <c r="O524" s="62" t="s">
        <v>529</v>
      </c>
      <c r="P524" s="58">
        <v>46206.0</v>
      </c>
      <c r="Q524" s="38"/>
      <c r="R524" s="38"/>
      <c r="S524" s="38"/>
      <c r="T524" s="38"/>
      <c r="U524" s="38"/>
      <c r="V524" s="38"/>
    </row>
    <row r="525">
      <c r="A525" s="75">
        <v>46189.0</v>
      </c>
      <c r="B525" s="27" t="s">
        <v>233</v>
      </c>
      <c r="C525" s="27">
        <v>4.998117557E9</v>
      </c>
      <c r="D525" s="28" t="s">
        <v>5</v>
      </c>
      <c r="E525" s="27">
        <v>1.0</v>
      </c>
      <c r="F525" s="27" t="s">
        <v>955</v>
      </c>
      <c r="G525" s="27" t="s">
        <v>956</v>
      </c>
      <c r="H525" s="92">
        <v>4975.0</v>
      </c>
      <c r="I525" s="30" t="str">
        <f t="shared" si="19"/>
        <v>4975-GSB-092256847591000855</v>
      </c>
      <c r="J525" s="31" t="s">
        <v>939</v>
      </c>
      <c r="K525" s="27" t="s">
        <v>940</v>
      </c>
      <c r="L525" s="120">
        <v>46199.0</v>
      </c>
      <c r="M525" s="35" t="s">
        <v>139</v>
      </c>
      <c r="N525" s="62">
        <v>31285.0</v>
      </c>
      <c r="O525" s="62" t="s">
        <v>529</v>
      </c>
      <c r="P525" s="58">
        <v>46206.0</v>
      </c>
      <c r="Q525" s="38"/>
      <c r="R525" s="38"/>
      <c r="S525" s="38"/>
      <c r="T525" s="38"/>
      <c r="U525" s="38"/>
      <c r="V525" s="38"/>
    </row>
    <row r="526">
      <c r="A526" s="75">
        <v>46189.0</v>
      </c>
      <c r="B526" s="27" t="s">
        <v>233</v>
      </c>
      <c r="C526" s="27">
        <v>4.998117557E9</v>
      </c>
      <c r="D526" s="28" t="s">
        <v>5</v>
      </c>
      <c r="E526" s="27">
        <v>1.0</v>
      </c>
      <c r="F526" s="27" t="s">
        <v>957</v>
      </c>
      <c r="G526" s="27" t="s">
        <v>958</v>
      </c>
      <c r="H526" s="92">
        <v>5592.0</v>
      </c>
      <c r="I526" s="30" t="str">
        <f t="shared" si="19"/>
        <v>5592-GSB-092256847706150236</v>
      </c>
      <c r="J526" s="31" t="s">
        <v>939</v>
      </c>
      <c r="K526" s="27" t="s">
        <v>940</v>
      </c>
      <c r="L526" s="120">
        <v>46199.0</v>
      </c>
      <c r="M526" s="35" t="s">
        <v>139</v>
      </c>
      <c r="N526" s="62">
        <v>31285.0</v>
      </c>
      <c r="O526" s="62" t="s">
        <v>529</v>
      </c>
      <c r="P526" s="58">
        <v>46206.0</v>
      </c>
      <c r="Q526" s="38"/>
      <c r="R526" s="38"/>
      <c r="S526" s="38"/>
      <c r="T526" s="38"/>
      <c r="U526" s="38"/>
      <c r="V526" s="38"/>
    </row>
    <row r="527">
      <c r="A527" s="75">
        <v>46189.0</v>
      </c>
      <c r="B527" s="27" t="s">
        <v>233</v>
      </c>
      <c r="C527" s="27">
        <v>4.998117557E9</v>
      </c>
      <c r="D527" s="28" t="s">
        <v>5</v>
      </c>
      <c r="E527" s="27">
        <v>1.0</v>
      </c>
      <c r="F527" s="27" t="s">
        <v>959</v>
      </c>
      <c r="G527" s="27" t="s">
        <v>960</v>
      </c>
      <c r="H527" s="92">
        <v>5574.0</v>
      </c>
      <c r="I527" s="30" t="str">
        <f t="shared" si="19"/>
        <v>5574-GSB-092256847706150381</v>
      </c>
      <c r="J527" s="31" t="s">
        <v>939</v>
      </c>
      <c r="K527" s="27" t="s">
        <v>940</v>
      </c>
      <c r="L527" s="120">
        <v>46199.0</v>
      </c>
      <c r="M527" s="35" t="s">
        <v>139</v>
      </c>
      <c r="N527" s="61">
        <v>3083.0</v>
      </c>
      <c r="O527" s="61" t="s">
        <v>961</v>
      </c>
      <c r="P527" s="91">
        <v>46226.0</v>
      </c>
      <c r="Q527" s="38"/>
      <c r="R527" s="38"/>
      <c r="S527" s="38"/>
      <c r="T527" s="38"/>
      <c r="U527" s="38"/>
      <c r="V527" s="38"/>
    </row>
    <row r="528">
      <c r="A528" s="75">
        <v>46189.0</v>
      </c>
      <c r="B528" s="27" t="s">
        <v>233</v>
      </c>
      <c r="C528" s="27">
        <v>4.998117557E9</v>
      </c>
      <c r="D528" s="28" t="s">
        <v>5</v>
      </c>
      <c r="E528" s="27">
        <v>1.0</v>
      </c>
      <c r="F528" s="27" t="s">
        <v>962</v>
      </c>
      <c r="G528" s="27" t="s">
        <v>963</v>
      </c>
      <c r="H528" s="92">
        <v>5797.0</v>
      </c>
      <c r="I528" s="30" t="str">
        <f t="shared" si="19"/>
        <v>5797-GSB-092256847892120818</v>
      </c>
      <c r="J528" s="31" t="s">
        <v>939</v>
      </c>
      <c r="K528" s="27" t="s">
        <v>940</v>
      </c>
      <c r="L528" s="120">
        <v>46199.0</v>
      </c>
      <c r="M528" s="35" t="s">
        <v>139</v>
      </c>
      <c r="N528" s="2">
        <v>31285.0</v>
      </c>
      <c r="O528" s="2" t="s">
        <v>529</v>
      </c>
      <c r="P528" s="121">
        <v>46206.0</v>
      </c>
      <c r="Q528" s="38"/>
      <c r="R528" s="38"/>
      <c r="S528" s="38"/>
      <c r="T528" s="38"/>
      <c r="U528" s="38"/>
      <c r="V528" s="38"/>
    </row>
    <row r="529">
      <c r="A529" s="75">
        <v>46189.0</v>
      </c>
      <c r="B529" s="27" t="s">
        <v>233</v>
      </c>
      <c r="C529" s="27">
        <v>4.998117557E9</v>
      </c>
      <c r="D529" s="28" t="s">
        <v>5</v>
      </c>
      <c r="E529" s="27">
        <v>1.0</v>
      </c>
      <c r="F529" s="27" t="s">
        <v>964</v>
      </c>
      <c r="G529" s="27" t="s">
        <v>965</v>
      </c>
      <c r="H529" s="92">
        <v>5602.0</v>
      </c>
      <c r="I529" s="30" t="str">
        <f t="shared" si="19"/>
        <v>5602-GSB-092256847706150246</v>
      </c>
      <c r="J529" s="31" t="s">
        <v>939</v>
      </c>
      <c r="K529" s="27" t="s">
        <v>940</v>
      </c>
      <c r="L529" s="120">
        <v>46199.0</v>
      </c>
      <c r="M529" s="35" t="s">
        <v>139</v>
      </c>
      <c r="N529" s="62">
        <v>31285.0</v>
      </c>
      <c r="O529" s="62" t="s">
        <v>529</v>
      </c>
      <c r="P529" s="58">
        <v>46206.0</v>
      </c>
      <c r="Q529" s="38"/>
      <c r="R529" s="38"/>
      <c r="S529" s="38"/>
      <c r="T529" s="38"/>
      <c r="U529" s="38"/>
      <c r="V529" s="38"/>
    </row>
    <row r="530">
      <c r="A530" s="75">
        <v>46189.0</v>
      </c>
      <c r="B530" s="27" t="s">
        <v>233</v>
      </c>
      <c r="C530" s="27">
        <v>4.998117557E9</v>
      </c>
      <c r="D530" s="28" t="s">
        <v>5</v>
      </c>
      <c r="E530" s="27">
        <v>1.0</v>
      </c>
      <c r="F530" s="27" t="s">
        <v>966</v>
      </c>
      <c r="G530" s="27" t="s">
        <v>967</v>
      </c>
      <c r="H530" s="92">
        <v>5116.0</v>
      </c>
      <c r="I530" s="30" t="str">
        <f t="shared" si="19"/>
        <v>5116-GSB-092256843997580480</v>
      </c>
      <c r="J530" s="31" t="s">
        <v>939</v>
      </c>
      <c r="K530" s="27" t="s">
        <v>940</v>
      </c>
      <c r="L530" s="120">
        <v>46199.0</v>
      </c>
      <c r="M530" s="35" t="s">
        <v>139</v>
      </c>
      <c r="N530" s="62">
        <v>31285.0</v>
      </c>
      <c r="O530" s="62" t="s">
        <v>529</v>
      </c>
      <c r="P530" s="58">
        <v>46206.0</v>
      </c>
      <c r="Q530" s="38"/>
      <c r="R530" s="38"/>
      <c r="S530" s="38"/>
      <c r="T530" s="38"/>
      <c r="U530" s="38"/>
      <c r="V530" s="38"/>
    </row>
    <row r="531">
      <c r="A531" s="75">
        <v>46189.0</v>
      </c>
      <c r="B531" s="27" t="s">
        <v>233</v>
      </c>
      <c r="C531" s="27">
        <v>4.998117557E9</v>
      </c>
      <c r="D531" s="28" t="s">
        <v>5</v>
      </c>
      <c r="E531" s="27">
        <v>1.0</v>
      </c>
      <c r="F531" s="27" t="s">
        <v>968</v>
      </c>
      <c r="G531" s="27" t="s">
        <v>969</v>
      </c>
      <c r="H531" s="92">
        <v>5788.0</v>
      </c>
      <c r="I531" s="30" t="str">
        <f t="shared" si="19"/>
        <v>5788-GSB-092256847892120809</v>
      </c>
      <c r="J531" s="31" t="s">
        <v>939</v>
      </c>
      <c r="K531" s="27" t="s">
        <v>940</v>
      </c>
      <c r="L531" s="120">
        <v>46199.0</v>
      </c>
      <c r="M531" s="35" t="s">
        <v>139</v>
      </c>
      <c r="N531" s="62">
        <v>31285.0</v>
      </c>
      <c r="O531" s="62" t="s">
        <v>529</v>
      </c>
      <c r="P531" s="58">
        <v>46206.0</v>
      </c>
      <c r="Q531" s="38"/>
      <c r="R531" s="38"/>
      <c r="S531" s="38"/>
      <c r="T531" s="38"/>
      <c r="U531" s="38"/>
      <c r="V531" s="38"/>
    </row>
    <row r="532">
      <c r="A532" s="75">
        <v>46189.0</v>
      </c>
      <c r="B532" s="27" t="s">
        <v>233</v>
      </c>
      <c r="C532" s="27">
        <v>4.998117557E9</v>
      </c>
      <c r="D532" s="28" t="s">
        <v>5</v>
      </c>
      <c r="E532" s="27">
        <v>1.0</v>
      </c>
      <c r="F532" s="27" t="s">
        <v>970</v>
      </c>
      <c r="G532" s="27" t="s">
        <v>971</v>
      </c>
      <c r="H532" s="92">
        <v>5077.0</v>
      </c>
      <c r="I532" s="30" t="str">
        <f t="shared" si="19"/>
        <v>5077-GSB-092256847517520195</v>
      </c>
      <c r="J532" s="31" t="s">
        <v>939</v>
      </c>
      <c r="K532" s="27" t="s">
        <v>940</v>
      </c>
      <c r="L532" s="120">
        <v>46199.0</v>
      </c>
      <c r="M532" s="35" t="s">
        <v>139</v>
      </c>
      <c r="N532" s="62">
        <v>31285.0</v>
      </c>
      <c r="O532" s="62" t="s">
        <v>529</v>
      </c>
      <c r="P532" s="58">
        <v>46206.0</v>
      </c>
      <c r="Q532" s="38"/>
      <c r="R532" s="38"/>
      <c r="S532" s="38"/>
      <c r="T532" s="38"/>
      <c r="U532" s="38"/>
      <c r="V532" s="38"/>
    </row>
    <row r="533">
      <c r="A533" s="75">
        <v>46189.0</v>
      </c>
      <c r="B533" s="27" t="s">
        <v>233</v>
      </c>
      <c r="C533" s="27">
        <v>4.998117557E9</v>
      </c>
      <c r="D533" s="28" t="s">
        <v>5</v>
      </c>
      <c r="E533" s="27">
        <v>1.0</v>
      </c>
      <c r="F533" s="27" t="s">
        <v>972</v>
      </c>
      <c r="G533" s="27" t="s">
        <v>973</v>
      </c>
      <c r="H533" s="92">
        <v>5555.0</v>
      </c>
      <c r="I533" s="30" t="str">
        <f t="shared" si="19"/>
        <v>5555-GSB-092256847706150368</v>
      </c>
      <c r="J533" s="31" t="s">
        <v>939</v>
      </c>
      <c r="K533" s="27" t="s">
        <v>940</v>
      </c>
      <c r="L533" s="120">
        <v>46199.0</v>
      </c>
      <c r="M533" s="35" t="s">
        <v>139</v>
      </c>
      <c r="N533" s="62">
        <v>31285.0</v>
      </c>
      <c r="O533" s="62" t="s">
        <v>529</v>
      </c>
      <c r="P533" s="58">
        <v>46206.0</v>
      </c>
      <c r="Q533" s="38"/>
      <c r="R533" s="38"/>
      <c r="S533" s="38"/>
      <c r="T533" s="38"/>
      <c r="U533" s="38"/>
      <c r="V533" s="38"/>
    </row>
    <row r="534">
      <c r="A534" s="75">
        <v>46189.0</v>
      </c>
      <c r="B534" s="27" t="s">
        <v>233</v>
      </c>
      <c r="C534" s="27">
        <v>4.998117557E9</v>
      </c>
      <c r="D534" s="28" t="s">
        <v>5</v>
      </c>
      <c r="E534" s="27">
        <v>1.0</v>
      </c>
      <c r="F534" s="27" t="s">
        <v>974</v>
      </c>
      <c r="G534" s="27" t="s">
        <v>975</v>
      </c>
      <c r="H534" s="92">
        <v>5827.0</v>
      </c>
      <c r="I534" s="30" t="str">
        <f t="shared" si="19"/>
        <v>5827-GSB-092256847892120278</v>
      </c>
      <c r="J534" s="31" t="s">
        <v>939</v>
      </c>
      <c r="K534" s="27" t="s">
        <v>940</v>
      </c>
      <c r="L534" s="120">
        <v>46199.0</v>
      </c>
      <c r="M534" s="35" t="s">
        <v>139</v>
      </c>
      <c r="N534" s="62">
        <v>31285.0</v>
      </c>
      <c r="O534" s="62" t="s">
        <v>529</v>
      </c>
      <c r="P534" s="58">
        <v>46206.0</v>
      </c>
      <c r="Q534" s="38"/>
      <c r="R534" s="38"/>
      <c r="S534" s="38"/>
      <c r="T534" s="38"/>
      <c r="U534" s="38"/>
      <c r="V534" s="38"/>
    </row>
    <row r="535">
      <c r="A535" s="75">
        <v>46195.0</v>
      </c>
      <c r="B535" s="27" t="s">
        <v>35</v>
      </c>
      <c r="C535" s="27" t="s">
        <v>35</v>
      </c>
      <c r="D535" s="28" t="s">
        <v>31</v>
      </c>
      <c r="E535" s="27">
        <v>1.0</v>
      </c>
      <c r="F535" s="27" t="s">
        <v>35</v>
      </c>
      <c r="G535" s="27" t="s">
        <v>35</v>
      </c>
      <c r="H535" s="92">
        <v>10381.0</v>
      </c>
      <c r="I535" s="30" t="str">
        <f t="shared" si="19"/>
        <v>10381-GSB-N/A</v>
      </c>
      <c r="J535" s="31" t="s">
        <v>53</v>
      </c>
      <c r="K535" s="27" t="s">
        <v>152</v>
      </c>
      <c r="L535" s="120">
        <v>46199.0</v>
      </c>
      <c r="M535" s="27" t="s">
        <v>139</v>
      </c>
      <c r="N535" s="2">
        <v>3077.0</v>
      </c>
      <c r="O535" s="36" t="s">
        <v>735</v>
      </c>
      <c r="P535" s="63">
        <v>46197.0</v>
      </c>
      <c r="Q535" s="38"/>
      <c r="R535" s="38"/>
      <c r="S535" s="38"/>
      <c r="T535" s="38"/>
      <c r="U535" s="38"/>
      <c r="V535" s="38"/>
    </row>
    <row r="536">
      <c r="A536" s="75">
        <v>46195.0</v>
      </c>
      <c r="B536" s="27" t="s">
        <v>35</v>
      </c>
      <c r="C536" s="27" t="s">
        <v>35</v>
      </c>
      <c r="D536" s="28" t="s">
        <v>31</v>
      </c>
      <c r="E536" s="27">
        <v>1.0</v>
      </c>
      <c r="F536" s="27" t="s">
        <v>35</v>
      </c>
      <c r="G536" s="27" t="s">
        <v>35</v>
      </c>
      <c r="H536" s="92">
        <v>10382.0</v>
      </c>
      <c r="I536" s="30" t="str">
        <f t="shared" si="19"/>
        <v>10382-GSB-N/A</v>
      </c>
      <c r="J536" s="31" t="s">
        <v>53</v>
      </c>
      <c r="K536" s="27" t="s">
        <v>152</v>
      </c>
      <c r="L536" s="120">
        <v>46199.0</v>
      </c>
      <c r="M536" s="27" t="s">
        <v>139</v>
      </c>
      <c r="N536" s="2">
        <v>3077.0</v>
      </c>
      <c r="O536" s="36" t="s">
        <v>735</v>
      </c>
      <c r="P536" s="63">
        <v>46197.0</v>
      </c>
      <c r="Q536" s="38"/>
      <c r="R536" s="38"/>
      <c r="S536" s="38"/>
      <c r="T536" s="38"/>
      <c r="U536" s="38"/>
      <c r="V536" s="38"/>
    </row>
    <row r="537">
      <c r="A537" s="75">
        <v>46195.0</v>
      </c>
      <c r="B537" s="27" t="s">
        <v>35</v>
      </c>
      <c r="C537" s="27" t="s">
        <v>35</v>
      </c>
      <c r="D537" s="28" t="s">
        <v>31</v>
      </c>
      <c r="E537" s="27">
        <v>1.0</v>
      </c>
      <c r="F537" s="27" t="s">
        <v>35</v>
      </c>
      <c r="G537" s="27" t="s">
        <v>35</v>
      </c>
      <c r="H537" s="92">
        <v>10383.0</v>
      </c>
      <c r="I537" s="30" t="str">
        <f t="shared" si="19"/>
        <v>10383-GSB-N/A</v>
      </c>
      <c r="J537" s="31" t="s">
        <v>53</v>
      </c>
      <c r="K537" s="27" t="s">
        <v>152</v>
      </c>
      <c r="L537" s="120">
        <v>46199.0</v>
      </c>
      <c r="M537" s="27" t="s">
        <v>139</v>
      </c>
      <c r="N537" s="2">
        <v>3078.0</v>
      </c>
      <c r="O537" s="36" t="s">
        <v>737</v>
      </c>
      <c r="P537" s="37">
        <v>46204.0</v>
      </c>
      <c r="Q537" s="38"/>
      <c r="R537" s="38"/>
      <c r="S537" s="38"/>
      <c r="T537" s="38"/>
      <c r="U537" s="38"/>
      <c r="V537" s="38"/>
    </row>
    <row r="538">
      <c r="A538" s="75">
        <v>46195.0</v>
      </c>
      <c r="B538" s="27" t="s">
        <v>35</v>
      </c>
      <c r="C538" s="27" t="s">
        <v>35</v>
      </c>
      <c r="D538" s="28" t="s">
        <v>31</v>
      </c>
      <c r="E538" s="27">
        <v>1.0</v>
      </c>
      <c r="F538" s="27" t="s">
        <v>35</v>
      </c>
      <c r="G538" s="27" t="s">
        <v>35</v>
      </c>
      <c r="H538" s="92">
        <v>10384.0</v>
      </c>
      <c r="I538" s="30" t="str">
        <f t="shared" si="19"/>
        <v>10384-GSB-N/A</v>
      </c>
      <c r="J538" s="31" t="s">
        <v>53</v>
      </c>
      <c r="K538" s="27" t="s">
        <v>152</v>
      </c>
      <c r="L538" s="120">
        <v>46199.0</v>
      </c>
      <c r="M538" s="27" t="s">
        <v>139</v>
      </c>
      <c r="N538" s="2">
        <v>3078.0</v>
      </c>
      <c r="O538" s="36" t="s">
        <v>737</v>
      </c>
      <c r="P538" s="37">
        <v>46204.0</v>
      </c>
      <c r="Q538" s="38"/>
      <c r="R538" s="38"/>
      <c r="S538" s="38"/>
      <c r="T538" s="38"/>
      <c r="U538" s="38"/>
      <c r="V538" s="38"/>
    </row>
    <row r="539">
      <c r="A539" s="75"/>
      <c r="B539" s="27" t="s">
        <v>35</v>
      </c>
      <c r="C539" s="27" t="s">
        <v>564</v>
      </c>
      <c r="D539" s="28" t="s">
        <v>766</v>
      </c>
      <c r="E539" s="27">
        <v>1.0</v>
      </c>
      <c r="F539" s="27" t="s">
        <v>35</v>
      </c>
      <c r="G539" s="27" t="s">
        <v>35</v>
      </c>
      <c r="H539" s="92">
        <v>10385.0</v>
      </c>
      <c r="I539" s="30" t="str">
        <f t="shared" si="19"/>
        <v>10385-GSB-N/A</v>
      </c>
      <c r="J539" s="31" t="s">
        <v>976</v>
      </c>
      <c r="K539" s="27" t="s">
        <v>747</v>
      </c>
      <c r="L539" s="28" t="s">
        <v>977</v>
      </c>
      <c r="M539" s="27" t="s">
        <v>139</v>
      </c>
      <c r="N539" s="2">
        <v>2660.0</v>
      </c>
      <c r="O539" s="36" t="s">
        <v>976</v>
      </c>
      <c r="P539" s="63">
        <v>46205.0</v>
      </c>
      <c r="Q539" s="38"/>
      <c r="R539" s="38"/>
      <c r="S539" s="38"/>
      <c r="T539" s="38"/>
      <c r="U539" s="38"/>
      <c r="V539" s="38"/>
    </row>
    <row r="540">
      <c r="A540" s="75">
        <v>46184.0</v>
      </c>
      <c r="B540" s="27">
        <v>59889.0</v>
      </c>
      <c r="C540" s="27">
        <v>4.998114565E9</v>
      </c>
      <c r="D540" s="28" t="s">
        <v>2</v>
      </c>
      <c r="E540" s="27">
        <v>1.0</v>
      </c>
      <c r="F540" s="27" t="s">
        <v>978</v>
      </c>
      <c r="G540" s="109" t="s">
        <v>35</v>
      </c>
      <c r="H540" s="92">
        <v>10329.0</v>
      </c>
      <c r="I540" s="70" t="str">
        <f>CONCATENATE(H540,"-","GSB","-",F540)</f>
        <v>10329-GSB-SDS-1043628</v>
      </c>
      <c r="J540" s="31" t="s">
        <v>979</v>
      </c>
      <c r="K540" s="27" t="s">
        <v>747</v>
      </c>
      <c r="L540" s="120">
        <v>46206.0</v>
      </c>
      <c r="M540" s="27" t="s">
        <v>139</v>
      </c>
      <c r="N540" s="2"/>
      <c r="O540" s="51"/>
      <c r="P540" s="93"/>
      <c r="Q540" s="38"/>
      <c r="R540" s="38"/>
      <c r="S540" s="38"/>
      <c r="T540" s="38"/>
      <c r="U540" s="38"/>
      <c r="V540" s="38"/>
    </row>
    <row r="541">
      <c r="A541" s="75">
        <v>46182.0</v>
      </c>
      <c r="B541" s="27" t="s">
        <v>503</v>
      </c>
      <c r="C541" s="27" t="s">
        <v>504</v>
      </c>
      <c r="D541" s="92" t="s">
        <v>42</v>
      </c>
      <c r="E541" s="27">
        <v>1.0</v>
      </c>
      <c r="F541" s="109" t="s">
        <v>35</v>
      </c>
      <c r="G541" s="27" t="s">
        <v>980</v>
      </c>
      <c r="H541" s="92">
        <v>10236.0</v>
      </c>
      <c r="I541" s="30" t="str">
        <f t="shared" ref="I541:I543" si="20">CONCATENATE(H541,"-","GSB","-",G541)</f>
        <v>10236-GSB-093140637663790265</v>
      </c>
      <c r="J541" s="31" t="s">
        <v>979</v>
      </c>
      <c r="K541" s="27" t="s">
        <v>747</v>
      </c>
      <c r="L541" s="120">
        <v>46206.0</v>
      </c>
      <c r="M541" s="27" t="s">
        <v>139</v>
      </c>
      <c r="N541" s="2"/>
      <c r="O541" s="51"/>
      <c r="P541" s="93"/>
      <c r="Q541" s="38"/>
      <c r="R541" s="38"/>
      <c r="S541" s="38"/>
      <c r="T541" s="38"/>
      <c r="U541" s="38"/>
      <c r="V541" s="38"/>
    </row>
    <row r="542">
      <c r="A542" s="23">
        <v>45897.0</v>
      </c>
      <c r="B542" s="25">
        <v>2.093501849E9</v>
      </c>
      <c r="C542" s="25" t="s">
        <v>108</v>
      </c>
      <c r="D542" s="70" t="s">
        <v>43</v>
      </c>
      <c r="E542" s="25">
        <v>1.0</v>
      </c>
      <c r="F542" s="109" t="s">
        <v>35</v>
      </c>
      <c r="G542" s="25">
        <v>2.503380521E9</v>
      </c>
      <c r="H542" s="105">
        <v>7442.0</v>
      </c>
      <c r="I542" s="30" t="str">
        <f t="shared" si="20"/>
        <v>7442-GSB-2503380521</v>
      </c>
      <c r="J542" s="31" t="s">
        <v>979</v>
      </c>
      <c r="K542" s="27" t="s">
        <v>747</v>
      </c>
      <c r="L542" s="120">
        <v>46206.0</v>
      </c>
      <c r="M542" s="27" t="s">
        <v>139</v>
      </c>
      <c r="N542" s="2"/>
      <c r="O542" s="51"/>
      <c r="P542" s="93"/>
      <c r="Q542" s="38"/>
      <c r="R542" s="38"/>
      <c r="S542" s="38"/>
      <c r="T542" s="38"/>
      <c r="U542" s="38"/>
      <c r="V542" s="38"/>
    </row>
    <row r="543">
      <c r="A543" s="23">
        <v>45897.0</v>
      </c>
      <c r="B543" s="25">
        <v>2.093501849E9</v>
      </c>
      <c r="C543" s="25" t="s">
        <v>108</v>
      </c>
      <c r="D543" s="70" t="s">
        <v>43</v>
      </c>
      <c r="E543" s="25">
        <v>1.0</v>
      </c>
      <c r="F543" s="109" t="s">
        <v>35</v>
      </c>
      <c r="G543" s="25">
        <v>2.50338087E9</v>
      </c>
      <c r="H543" s="105">
        <v>7506.0</v>
      </c>
      <c r="I543" s="30" t="str">
        <f t="shared" si="20"/>
        <v>7506-GSB-2503380870</v>
      </c>
      <c r="J543" s="31" t="s">
        <v>979</v>
      </c>
      <c r="K543" s="27" t="s">
        <v>747</v>
      </c>
      <c r="L543" s="120">
        <v>46206.0</v>
      </c>
      <c r="M543" s="27" t="s">
        <v>139</v>
      </c>
      <c r="N543" s="2">
        <v>2664.0</v>
      </c>
      <c r="O543" s="36" t="s">
        <v>981</v>
      </c>
      <c r="P543" s="63">
        <v>46219.0</v>
      </c>
      <c r="Q543" s="38"/>
      <c r="R543" s="38"/>
      <c r="S543" s="38"/>
      <c r="T543" s="38"/>
      <c r="U543" s="38"/>
      <c r="V543" s="38"/>
    </row>
    <row r="544">
      <c r="A544" s="75">
        <v>46184.0</v>
      </c>
      <c r="B544" s="27" t="s">
        <v>621</v>
      </c>
      <c r="C544" s="27" t="s">
        <v>327</v>
      </c>
      <c r="D544" s="28" t="s">
        <v>328</v>
      </c>
      <c r="E544" s="27">
        <v>1.0</v>
      </c>
      <c r="F544" s="27" t="s">
        <v>982</v>
      </c>
      <c r="G544" s="27" t="s">
        <v>983</v>
      </c>
      <c r="H544" s="92">
        <v>6011.0</v>
      </c>
      <c r="I544" s="30" t="str">
        <f t="shared" ref="I544:I545" si="21">CONCATENATE(H544,"-","GSB","-",F544)</f>
        <v>6011-GSB-SDS/1037013</v>
      </c>
      <c r="J544" s="31" t="s">
        <v>979</v>
      </c>
      <c r="K544" s="27" t="s">
        <v>747</v>
      </c>
      <c r="L544" s="120">
        <v>46206.0</v>
      </c>
      <c r="M544" s="27" t="s">
        <v>139</v>
      </c>
      <c r="N544" s="2">
        <v>2664.0</v>
      </c>
      <c r="O544" s="36" t="s">
        <v>981</v>
      </c>
      <c r="P544" s="63">
        <v>46219.0</v>
      </c>
      <c r="Q544" s="38"/>
      <c r="R544" s="38"/>
      <c r="S544" s="38"/>
      <c r="T544" s="38"/>
      <c r="U544" s="38"/>
      <c r="V544" s="38"/>
    </row>
    <row r="545">
      <c r="A545" s="75">
        <v>46184.0</v>
      </c>
      <c r="B545" s="27" t="s">
        <v>621</v>
      </c>
      <c r="C545" s="27" t="s">
        <v>327</v>
      </c>
      <c r="D545" s="28" t="s">
        <v>328</v>
      </c>
      <c r="E545" s="27">
        <v>1.0</v>
      </c>
      <c r="F545" s="27" t="s">
        <v>984</v>
      </c>
      <c r="G545" s="27" t="s">
        <v>985</v>
      </c>
      <c r="H545" s="92">
        <v>5465.0</v>
      </c>
      <c r="I545" s="30" t="str">
        <f t="shared" si="21"/>
        <v>5465-GSB-SDS/1033057</v>
      </c>
      <c r="J545" s="31" t="s">
        <v>979</v>
      </c>
      <c r="K545" s="27" t="s">
        <v>747</v>
      </c>
      <c r="L545" s="120">
        <v>46206.0</v>
      </c>
      <c r="M545" s="27" t="s">
        <v>139</v>
      </c>
      <c r="N545" s="2">
        <v>2662.0</v>
      </c>
      <c r="O545" s="36" t="s">
        <v>986</v>
      </c>
      <c r="P545" s="63">
        <v>46210.0</v>
      </c>
      <c r="Q545" s="38"/>
      <c r="R545" s="38"/>
      <c r="S545" s="38"/>
      <c r="T545" s="38"/>
      <c r="U545" s="38"/>
      <c r="V545" s="38"/>
    </row>
    <row r="546">
      <c r="A546" s="23">
        <v>45530.60907740741</v>
      </c>
      <c r="B546" s="25">
        <v>44430.0</v>
      </c>
      <c r="C546" s="25" t="s">
        <v>257</v>
      </c>
      <c r="D546" s="70" t="s">
        <v>57</v>
      </c>
      <c r="E546" s="25">
        <v>1.0</v>
      </c>
      <c r="F546" s="109" t="s">
        <v>35</v>
      </c>
      <c r="G546" s="109" t="s">
        <v>35</v>
      </c>
      <c r="H546" s="105">
        <v>8563.0</v>
      </c>
      <c r="I546" s="122" t="s">
        <v>987</v>
      </c>
      <c r="J546" s="31" t="s">
        <v>979</v>
      </c>
      <c r="K546" s="27" t="s">
        <v>747</v>
      </c>
      <c r="L546" s="120">
        <v>46206.0</v>
      </c>
      <c r="M546" s="27" t="s">
        <v>139</v>
      </c>
      <c r="N546" s="2">
        <v>2664.0</v>
      </c>
      <c r="O546" s="36" t="s">
        <v>981</v>
      </c>
      <c r="P546" s="63">
        <v>46219.0</v>
      </c>
      <c r="Q546" s="38"/>
      <c r="R546" s="38"/>
      <c r="S546" s="38"/>
      <c r="T546" s="38"/>
      <c r="U546" s="38"/>
      <c r="V546" s="38"/>
    </row>
    <row r="547">
      <c r="A547" s="23">
        <v>45530.60907740741</v>
      </c>
      <c r="B547" s="25">
        <v>44430.0</v>
      </c>
      <c r="C547" s="25" t="s">
        <v>257</v>
      </c>
      <c r="D547" s="70" t="s">
        <v>57</v>
      </c>
      <c r="E547" s="25">
        <v>1.0</v>
      </c>
      <c r="F547" s="109" t="s">
        <v>35</v>
      </c>
      <c r="G547" s="109" t="s">
        <v>35</v>
      </c>
      <c r="H547" s="105">
        <v>8547.0</v>
      </c>
      <c r="I547" s="122" t="s">
        <v>988</v>
      </c>
      <c r="J547" s="31" t="s">
        <v>979</v>
      </c>
      <c r="K547" s="27" t="s">
        <v>747</v>
      </c>
      <c r="L547" s="120">
        <v>46206.0</v>
      </c>
      <c r="M547" s="27" t="s">
        <v>139</v>
      </c>
      <c r="N547" s="2"/>
      <c r="O547" s="51"/>
      <c r="P547" s="93"/>
      <c r="Q547" s="38"/>
      <c r="R547" s="38"/>
      <c r="S547" s="38"/>
      <c r="T547" s="38"/>
      <c r="U547" s="38"/>
      <c r="V547" s="38"/>
    </row>
    <row r="548">
      <c r="A548" s="75">
        <v>46184.0</v>
      </c>
      <c r="B548" s="27" t="s">
        <v>621</v>
      </c>
      <c r="C548" s="27" t="s">
        <v>617</v>
      </c>
      <c r="D548" s="28" t="s">
        <v>8</v>
      </c>
      <c r="E548" s="27">
        <v>1.0</v>
      </c>
      <c r="F548" s="27" t="s">
        <v>989</v>
      </c>
      <c r="G548" s="109" t="s">
        <v>35</v>
      </c>
      <c r="H548" s="92">
        <v>10347.0</v>
      </c>
      <c r="I548" s="30" t="str">
        <f t="shared" ref="I548:I549" si="22">CONCATENATE(H548,"-","GSB","-",F548)</f>
        <v>10347-GSB-SDS/1043490</v>
      </c>
      <c r="J548" s="31" t="s">
        <v>990</v>
      </c>
      <c r="K548" s="27" t="s">
        <v>145</v>
      </c>
      <c r="L548" s="120">
        <v>46211.0</v>
      </c>
      <c r="M548" s="27" t="s">
        <v>991</v>
      </c>
      <c r="N548" s="2"/>
      <c r="O548" s="36" t="s">
        <v>186</v>
      </c>
      <c r="P548" s="37">
        <v>46081.0</v>
      </c>
      <c r="Q548" s="38"/>
      <c r="R548" s="38"/>
      <c r="S548" s="38"/>
      <c r="T548" s="38"/>
      <c r="U548" s="38"/>
      <c r="V548" s="38"/>
    </row>
    <row r="549">
      <c r="A549" s="75">
        <v>46141.0</v>
      </c>
      <c r="B549" s="27" t="s">
        <v>35</v>
      </c>
      <c r="C549" s="27" t="s">
        <v>35</v>
      </c>
      <c r="D549" s="28" t="s">
        <v>2</v>
      </c>
      <c r="E549" s="27">
        <v>1.0</v>
      </c>
      <c r="F549" s="27" t="s">
        <v>992</v>
      </c>
      <c r="G549" s="109" t="s">
        <v>35</v>
      </c>
      <c r="H549" s="92">
        <v>2259.0</v>
      </c>
      <c r="I549" s="30" t="str">
        <f t="shared" si="22"/>
        <v>2259-GSB-SDS-1034663</v>
      </c>
      <c r="J549" s="31" t="s">
        <v>151</v>
      </c>
      <c r="K549" s="31" t="s">
        <v>55</v>
      </c>
      <c r="L549" s="120">
        <v>46212.0</v>
      </c>
      <c r="M549" s="27" t="s">
        <v>60</v>
      </c>
      <c r="N549" s="2">
        <v>3495.0</v>
      </c>
      <c r="O549" s="36" t="s">
        <v>993</v>
      </c>
      <c r="P549" s="63">
        <v>46219.0</v>
      </c>
      <c r="Q549" s="38"/>
      <c r="R549" s="38"/>
      <c r="S549" s="38"/>
      <c r="T549" s="38"/>
      <c r="U549" s="38"/>
      <c r="V549" s="38"/>
    </row>
    <row r="550">
      <c r="A550" s="75">
        <v>46209.0</v>
      </c>
      <c r="B550" s="27" t="s">
        <v>438</v>
      </c>
      <c r="C550" s="27" t="s">
        <v>35</v>
      </c>
      <c r="D550" s="28" t="s">
        <v>31</v>
      </c>
      <c r="E550" s="27">
        <v>1.0</v>
      </c>
      <c r="F550" s="109" t="s">
        <v>35</v>
      </c>
      <c r="G550" s="27" t="s">
        <v>35</v>
      </c>
      <c r="H550" s="92">
        <v>10405.0</v>
      </c>
      <c r="I550" s="30" t="str">
        <f t="shared" ref="I550:I555" si="23">CONCATENATE(H550,"-","GSB","-",G550)</f>
        <v>10405-GSB-N/A</v>
      </c>
      <c r="J550" s="31" t="s">
        <v>151</v>
      </c>
      <c r="K550" s="31" t="s">
        <v>55</v>
      </c>
      <c r="L550" s="120">
        <v>46212.0</v>
      </c>
      <c r="M550" s="27" t="s">
        <v>60</v>
      </c>
      <c r="N550" s="2">
        <v>3495.0</v>
      </c>
      <c r="O550" s="36" t="s">
        <v>993</v>
      </c>
      <c r="P550" s="63">
        <v>46219.0</v>
      </c>
      <c r="Q550" s="38"/>
      <c r="R550" s="38"/>
      <c r="S550" s="38"/>
      <c r="T550" s="38"/>
      <c r="U550" s="38"/>
      <c r="V550" s="38"/>
    </row>
    <row r="551">
      <c r="A551" s="75">
        <v>46209.0</v>
      </c>
      <c r="B551" s="27" t="s">
        <v>438</v>
      </c>
      <c r="C551" s="27" t="s">
        <v>35</v>
      </c>
      <c r="D551" s="28" t="s">
        <v>36</v>
      </c>
      <c r="E551" s="27">
        <v>1.0</v>
      </c>
      <c r="F551" s="109" t="s">
        <v>35</v>
      </c>
      <c r="G551" s="27" t="s">
        <v>35</v>
      </c>
      <c r="H551" s="92" t="s">
        <v>35</v>
      </c>
      <c r="I551" s="30" t="str">
        <f t="shared" si="23"/>
        <v>N/A-GSB-N/A</v>
      </c>
      <c r="J551" s="31" t="s">
        <v>151</v>
      </c>
      <c r="K551" s="31" t="s">
        <v>55</v>
      </c>
      <c r="L551" s="120">
        <v>46212.0</v>
      </c>
      <c r="M551" s="27" t="s">
        <v>60</v>
      </c>
      <c r="N551" s="2">
        <v>3494.0</v>
      </c>
      <c r="O551" s="36" t="s">
        <v>994</v>
      </c>
      <c r="P551" s="63">
        <v>46218.0</v>
      </c>
      <c r="Q551" s="38"/>
      <c r="R551" s="38"/>
      <c r="S551" s="38"/>
      <c r="T551" s="38"/>
      <c r="U551" s="38"/>
      <c r="V551" s="38"/>
    </row>
    <row r="552">
      <c r="A552" s="75">
        <v>46209.0</v>
      </c>
      <c r="B552" s="27" t="s">
        <v>438</v>
      </c>
      <c r="C552" s="27" t="s">
        <v>35</v>
      </c>
      <c r="D552" s="28" t="s">
        <v>36</v>
      </c>
      <c r="E552" s="27">
        <v>1.0</v>
      </c>
      <c r="F552" s="109" t="s">
        <v>35</v>
      </c>
      <c r="G552" s="27" t="s">
        <v>35</v>
      </c>
      <c r="H552" s="92" t="s">
        <v>35</v>
      </c>
      <c r="I552" s="30" t="str">
        <f t="shared" si="23"/>
        <v>N/A-GSB-N/A</v>
      </c>
      <c r="J552" s="31" t="s">
        <v>151</v>
      </c>
      <c r="K552" s="31" t="s">
        <v>55</v>
      </c>
      <c r="L552" s="120">
        <v>46212.0</v>
      </c>
      <c r="M552" s="27" t="s">
        <v>60</v>
      </c>
      <c r="N552" s="2">
        <v>3495.0</v>
      </c>
      <c r="O552" s="36" t="s">
        <v>993</v>
      </c>
      <c r="P552" s="63">
        <v>46219.0</v>
      </c>
      <c r="Q552" s="38"/>
      <c r="R552" s="38"/>
      <c r="S552" s="38"/>
      <c r="T552" s="38"/>
      <c r="U552" s="38"/>
      <c r="V552" s="38"/>
    </row>
    <row r="553">
      <c r="A553" s="75">
        <v>46209.0</v>
      </c>
      <c r="B553" s="27" t="s">
        <v>438</v>
      </c>
      <c r="C553" s="27" t="s">
        <v>35</v>
      </c>
      <c r="D553" s="28" t="s">
        <v>36</v>
      </c>
      <c r="E553" s="27">
        <v>1.0</v>
      </c>
      <c r="F553" s="109" t="s">
        <v>35</v>
      </c>
      <c r="G553" s="27" t="s">
        <v>35</v>
      </c>
      <c r="H553" s="92" t="s">
        <v>35</v>
      </c>
      <c r="I553" s="30" t="str">
        <f t="shared" si="23"/>
        <v>N/A-GSB-N/A</v>
      </c>
      <c r="J553" s="31" t="s">
        <v>151</v>
      </c>
      <c r="K553" s="31" t="s">
        <v>55</v>
      </c>
      <c r="L553" s="120">
        <v>46212.0</v>
      </c>
      <c r="M553" s="27" t="s">
        <v>60</v>
      </c>
      <c r="N553" s="2">
        <v>3372.0</v>
      </c>
      <c r="O553" s="36" t="s">
        <v>995</v>
      </c>
      <c r="P553" s="63">
        <v>46254.0</v>
      </c>
      <c r="Q553" s="38"/>
      <c r="R553" s="38"/>
      <c r="S553" s="38"/>
      <c r="T553" s="38"/>
      <c r="U553" s="38"/>
      <c r="V553" s="38"/>
    </row>
    <row r="554">
      <c r="A554" s="75">
        <v>46209.0</v>
      </c>
      <c r="B554" s="27" t="s">
        <v>438</v>
      </c>
      <c r="C554" s="27" t="s">
        <v>35</v>
      </c>
      <c r="D554" s="28" t="s">
        <v>36</v>
      </c>
      <c r="E554" s="27">
        <v>1.0</v>
      </c>
      <c r="F554" s="109" t="s">
        <v>35</v>
      </c>
      <c r="G554" s="27" t="s">
        <v>35</v>
      </c>
      <c r="H554" s="92" t="s">
        <v>35</v>
      </c>
      <c r="I554" s="30" t="str">
        <f t="shared" si="23"/>
        <v>N/A-GSB-N/A</v>
      </c>
      <c r="J554" s="31" t="s">
        <v>151</v>
      </c>
      <c r="K554" s="31" t="s">
        <v>55</v>
      </c>
      <c r="L554" s="120">
        <v>46212.0</v>
      </c>
      <c r="M554" s="27" t="s">
        <v>60</v>
      </c>
      <c r="N554" s="2"/>
      <c r="O554" s="51"/>
      <c r="P554" s="93"/>
      <c r="Q554" s="38"/>
      <c r="R554" s="38"/>
      <c r="S554" s="38"/>
      <c r="T554" s="38"/>
      <c r="U554" s="38"/>
      <c r="V554" s="38"/>
    </row>
    <row r="555">
      <c r="A555" s="23">
        <v>45897.0</v>
      </c>
      <c r="B555" s="25">
        <v>2.093501849E9</v>
      </c>
      <c r="C555" s="25" t="s">
        <v>108</v>
      </c>
      <c r="D555" s="70" t="s">
        <v>43</v>
      </c>
      <c r="E555" s="25">
        <v>1.0</v>
      </c>
      <c r="F555" s="109" t="s">
        <v>35</v>
      </c>
      <c r="G555" s="25">
        <v>2.503380331E9</v>
      </c>
      <c r="H555" s="105">
        <v>7436.0</v>
      </c>
      <c r="I555" s="30" t="str">
        <f t="shared" si="23"/>
        <v>7436-GSB-2503380331</v>
      </c>
      <c r="J555" s="31" t="s">
        <v>151</v>
      </c>
      <c r="K555" s="31" t="s">
        <v>55</v>
      </c>
      <c r="L555" s="120">
        <v>46212.0</v>
      </c>
      <c r="M555" s="27" t="s">
        <v>60</v>
      </c>
      <c r="N555" s="2">
        <v>3495.0</v>
      </c>
      <c r="O555" s="36" t="s">
        <v>993</v>
      </c>
      <c r="P555" s="63">
        <v>46219.0</v>
      </c>
      <c r="Q555" s="38"/>
      <c r="R555" s="38"/>
      <c r="S555" s="38"/>
      <c r="T555" s="38"/>
      <c r="U555" s="38"/>
      <c r="V555" s="38"/>
    </row>
    <row r="556">
      <c r="A556" s="75">
        <v>46184.0</v>
      </c>
      <c r="B556" s="27" t="s">
        <v>621</v>
      </c>
      <c r="C556" s="27" t="s">
        <v>617</v>
      </c>
      <c r="D556" s="28" t="s">
        <v>8</v>
      </c>
      <c r="E556" s="27">
        <v>1.0</v>
      </c>
      <c r="F556" s="27" t="s">
        <v>996</v>
      </c>
      <c r="G556" s="109" t="s">
        <v>35</v>
      </c>
      <c r="H556" s="92">
        <v>10363.0</v>
      </c>
      <c r="I556" s="30" t="str">
        <f>CONCATENATE(H556,"-","GSB","-",F556)</f>
        <v>10363-GSB-SDS/1043477</v>
      </c>
      <c r="J556" s="31" t="s">
        <v>151</v>
      </c>
      <c r="K556" s="31" t="s">
        <v>55</v>
      </c>
      <c r="L556" s="120">
        <v>46212.0</v>
      </c>
      <c r="M556" s="27" t="s">
        <v>60</v>
      </c>
      <c r="N556" s="2">
        <v>3495.0</v>
      </c>
      <c r="O556" s="36" t="s">
        <v>993</v>
      </c>
      <c r="P556" s="63">
        <v>46219.0</v>
      </c>
      <c r="Q556" s="38"/>
      <c r="R556" s="38"/>
      <c r="S556" s="38"/>
      <c r="T556" s="38"/>
      <c r="U556" s="38"/>
      <c r="V556" s="38"/>
    </row>
    <row r="557">
      <c r="A557" s="75">
        <v>46142.0</v>
      </c>
      <c r="B557" s="27">
        <v>2664.0</v>
      </c>
      <c r="C557" s="27">
        <v>7.709990800005E12</v>
      </c>
      <c r="D557" s="28" t="s">
        <v>566</v>
      </c>
      <c r="E557" s="27">
        <v>1.0</v>
      </c>
      <c r="F557" s="109" t="s">
        <v>35</v>
      </c>
      <c r="G557" s="27" t="s">
        <v>634</v>
      </c>
      <c r="H557" s="92" t="s">
        <v>35</v>
      </c>
      <c r="I557" s="30" t="str">
        <f>CONCATENATE(H557,"-","GSB","-",G557)</f>
        <v>N/A-GSB-BLISTEL X 5</v>
      </c>
      <c r="J557" s="31" t="s">
        <v>151</v>
      </c>
      <c r="K557" s="31" t="s">
        <v>55</v>
      </c>
      <c r="L557" s="120">
        <v>46212.0</v>
      </c>
      <c r="M557" s="27" t="s">
        <v>60</v>
      </c>
      <c r="N557" s="2">
        <v>3362.0</v>
      </c>
      <c r="O557" s="36" t="s">
        <v>997</v>
      </c>
      <c r="P557" s="63">
        <v>46235.0</v>
      </c>
      <c r="Q557" s="38"/>
      <c r="R557" s="38"/>
      <c r="S557" s="38"/>
      <c r="T557" s="38"/>
      <c r="U557" s="38"/>
      <c r="V557" s="38"/>
    </row>
    <row r="558">
      <c r="A558" s="23">
        <v>45530.60907740741</v>
      </c>
      <c r="B558" s="123">
        <v>46195.635848935184</v>
      </c>
      <c r="C558" s="25" t="s">
        <v>257</v>
      </c>
      <c r="D558" s="70" t="s">
        <v>57</v>
      </c>
      <c r="E558" s="25">
        <v>1.0</v>
      </c>
      <c r="F558" s="109" t="s">
        <v>35</v>
      </c>
      <c r="G558" s="109" t="s">
        <v>35</v>
      </c>
      <c r="H558" s="105">
        <v>8579.0</v>
      </c>
      <c r="I558" s="122" t="s">
        <v>998</v>
      </c>
      <c r="J558" s="31" t="s">
        <v>151</v>
      </c>
      <c r="K558" s="31" t="s">
        <v>55</v>
      </c>
      <c r="L558" s="120">
        <v>46212.0</v>
      </c>
      <c r="M558" s="27" t="s">
        <v>60</v>
      </c>
      <c r="N558" s="2">
        <v>3495.0</v>
      </c>
      <c r="O558" s="36" t="s">
        <v>993</v>
      </c>
      <c r="P558" s="63">
        <v>46219.0</v>
      </c>
      <c r="Q558" s="38"/>
      <c r="R558" s="38"/>
      <c r="S558" s="38"/>
      <c r="T558" s="38"/>
      <c r="U558" s="38"/>
      <c r="V558" s="38"/>
    </row>
    <row r="559">
      <c r="A559" s="75">
        <v>46184.0</v>
      </c>
      <c r="B559" s="27" t="s">
        <v>35</v>
      </c>
      <c r="C559" s="27" t="s">
        <v>35</v>
      </c>
      <c r="D559" s="28" t="s">
        <v>333</v>
      </c>
      <c r="E559" s="27">
        <v>1.0</v>
      </c>
      <c r="F559" s="109" t="s">
        <v>35</v>
      </c>
      <c r="G559" s="27" t="s">
        <v>35</v>
      </c>
      <c r="H559" s="92">
        <v>10245.0</v>
      </c>
      <c r="I559" s="30" t="str">
        <f>CONCATENATE(H559,"-","GSB","-",G559)</f>
        <v>10245-GSB-N/A</v>
      </c>
      <c r="J559" s="31" t="s">
        <v>151</v>
      </c>
      <c r="K559" s="31" t="s">
        <v>55</v>
      </c>
      <c r="L559" s="120">
        <v>46212.0</v>
      </c>
      <c r="M559" s="27" t="s">
        <v>60</v>
      </c>
      <c r="N559" s="2">
        <v>3494.0</v>
      </c>
      <c r="O559" s="36" t="s">
        <v>994</v>
      </c>
      <c r="P559" s="63">
        <v>46218.0</v>
      </c>
      <c r="Q559" s="38"/>
      <c r="R559" s="38"/>
      <c r="S559" s="38"/>
      <c r="T559" s="38"/>
      <c r="U559" s="38"/>
      <c r="V559" s="38"/>
    </row>
    <row r="560">
      <c r="A560" s="75">
        <v>46141.0</v>
      </c>
      <c r="B560" s="27" t="s">
        <v>35</v>
      </c>
      <c r="C560" s="27" t="s">
        <v>35</v>
      </c>
      <c r="D560" s="28" t="s">
        <v>61</v>
      </c>
      <c r="E560" s="27">
        <v>1.0</v>
      </c>
      <c r="F560" s="27" t="s">
        <v>999</v>
      </c>
      <c r="G560" s="109" t="s">
        <v>35</v>
      </c>
      <c r="H560" s="92">
        <v>2160.0</v>
      </c>
      <c r="I560" s="30" t="str">
        <f t="shared" ref="I560:I659" si="24">CONCATENATE(H560,"-","GSB","-",F560)</f>
        <v>2160-GSB-SDS-1034632</v>
      </c>
      <c r="J560" s="31" t="s">
        <v>151</v>
      </c>
      <c r="K560" s="31" t="s">
        <v>55</v>
      </c>
      <c r="L560" s="120">
        <v>46212.0</v>
      </c>
      <c r="M560" s="27" t="s">
        <v>60</v>
      </c>
      <c r="N560" s="2">
        <v>3495.0</v>
      </c>
      <c r="O560" s="36" t="s">
        <v>993</v>
      </c>
      <c r="P560" s="63">
        <v>46219.0</v>
      </c>
      <c r="Q560" s="38"/>
      <c r="R560" s="38"/>
      <c r="S560" s="38"/>
      <c r="T560" s="38"/>
      <c r="U560" s="38"/>
      <c r="V560" s="38"/>
    </row>
    <row r="561">
      <c r="A561" s="75">
        <v>46184.0</v>
      </c>
      <c r="B561" s="27">
        <v>59889.0</v>
      </c>
      <c r="C561" s="27">
        <v>4.998114565E9</v>
      </c>
      <c r="D561" s="28" t="s">
        <v>2</v>
      </c>
      <c r="E561" s="27">
        <v>1.0</v>
      </c>
      <c r="F561" s="27" t="s">
        <v>1000</v>
      </c>
      <c r="G561" s="109" t="s">
        <v>35</v>
      </c>
      <c r="H561" s="28">
        <v>10338.0</v>
      </c>
      <c r="I561" s="70" t="str">
        <f t="shared" si="24"/>
        <v>10338-GSB-SDS-1043632</v>
      </c>
      <c r="J561" s="31" t="s">
        <v>1001</v>
      </c>
      <c r="K561" s="31" t="s">
        <v>55</v>
      </c>
      <c r="L561" s="120">
        <v>46221.0</v>
      </c>
      <c r="M561" s="27" t="s">
        <v>60</v>
      </c>
      <c r="N561" s="2">
        <v>3357.0</v>
      </c>
      <c r="O561" s="36" t="s">
        <v>1002</v>
      </c>
      <c r="P561" s="63">
        <v>46232.0</v>
      </c>
      <c r="Q561" s="38"/>
      <c r="R561" s="38"/>
      <c r="S561" s="38"/>
      <c r="T561" s="38"/>
      <c r="U561" s="38"/>
      <c r="V561" s="38"/>
    </row>
    <row r="562">
      <c r="A562" s="75">
        <v>46184.0</v>
      </c>
      <c r="B562" s="27">
        <v>59889.0</v>
      </c>
      <c r="C562" s="27">
        <v>4.998114565E9</v>
      </c>
      <c r="D562" s="28" t="s">
        <v>2</v>
      </c>
      <c r="E562" s="27">
        <v>1.0</v>
      </c>
      <c r="F562" s="27" t="s">
        <v>1003</v>
      </c>
      <c r="G562" s="109" t="s">
        <v>35</v>
      </c>
      <c r="H562" s="28">
        <v>10334.0</v>
      </c>
      <c r="I562" s="70" t="str">
        <f t="shared" si="24"/>
        <v>10334-GSB-SDS-1043625</v>
      </c>
      <c r="J562" s="31" t="s">
        <v>1001</v>
      </c>
      <c r="K562" s="31" t="s">
        <v>55</v>
      </c>
      <c r="L562" s="120">
        <v>46221.0</v>
      </c>
      <c r="M562" s="27" t="s">
        <v>60</v>
      </c>
      <c r="N562" s="2">
        <v>3357.0</v>
      </c>
      <c r="O562" s="36" t="s">
        <v>1002</v>
      </c>
      <c r="P562" s="63">
        <v>46232.0</v>
      </c>
      <c r="Q562" s="38"/>
      <c r="R562" s="38"/>
      <c r="S562" s="38"/>
      <c r="T562" s="38"/>
      <c r="U562" s="38"/>
      <c r="V562" s="38"/>
    </row>
    <row r="563">
      <c r="A563" s="75">
        <v>46184.0</v>
      </c>
      <c r="B563" s="27">
        <v>59889.0</v>
      </c>
      <c r="C563" s="27">
        <v>4.998114565E9</v>
      </c>
      <c r="D563" s="28" t="s">
        <v>2</v>
      </c>
      <c r="E563" s="27">
        <v>1.0</v>
      </c>
      <c r="F563" s="27" t="s">
        <v>1004</v>
      </c>
      <c r="G563" s="109" t="s">
        <v>35</v>
      </c>
      <c r="H563" s="28">
        <v>10331.0</v>
      </c>
      <c r="I563" s="70" t="str">
        <f t="shared" si="24"/>
        <v>10331-GSB-SDS-1043582</v>
      </c>
      <c r="J563" s="31" t="s">
        <v>1001</v>
      </c>
      <c r="K563" s="31" t="s">
        <v>55</v>
      </c>
      <c r="L563" s="120">
        <v>46221.0</v>
      </c>
      <c r="M563" s="27" t="s">
        <v>60</v>
      </c>
      <c r="N563" s="2">
        <v>3357.0</v>
      </c>
      <c r="O563" s="36" t="s">
        <v>1002</v>
      </c>
      <c r="P563" s="63">
        <v>46232.0</v>
      </c>
      <c r="Q563" s="38"/>
      <c r="R563" s="38"/>
      <c r="S563" s="38"/>
      <c r="T563" s="38"/>
      <c r="U563" s="38"/>
      <c r="V563" s="38"/>
    </row>
    <row r="564">
      <c r="A564" s="75">
        <v>46184.0</v>
      </c>
      <c r="B564" s="27">
        <v>59889.0</v>
      </c>
      <c r="C564" s="27">
        <v>4.998114565E9</v>
      </c>
      <c r="D564" s="28" t="s">
        <v>2</v>
      </c>
      <c r="E564" s="27">
        <v>1.0</v>
      </c>
      <c r="F564" s="27" t="s">
        <v>1005</v>
      </c>
      <c r="G564" s="109" t="s">
        <v>35</v>
      </c>
      <c r="H564" s="28">
        <v>10330.0</v>
      </c>
      <c r="I564" s="70" t="str">
        <f t="shared" si="24"/>
        <v>10330-GSB-SDS-1043578</v>
      </c>
      <c r="J564" s="31" t="s">
        <v>1001</v>
      </c>
      <c r="K564" s="31" t="s">
        <v>55</v>
      </c>
      <c r="L564" s="120">
        <v>46221.0</v>
      </c>
      <c r="M564" s="27" t="s">
        <v>60</v>
      </c>
      <c r="N564" s="2">
        <v>3357.0</v>
      </c>
      <c r="O564" s="36" t="s">
        <v>1002</v>
      </c>
      <c r="P564" s="63">
        <v>46232.0</v>
      </c>
      <c r="Q564" s="38"/>
      <c r="R564" s="38"/>
      <c r="S564" s="38"/>
      <c r="T564" s="38"/>
      <c r="U564" s="38"/>
      <c r="V564" s="38"/>
    </row>
    <row r="565">
      <c r="A565" s="75">
        <v>46184.0</v>
      </c>
      <c r="B565" s="27">
        <v>59889.0</v>
      </c>
      <c r="C565" s="27">
        <v>4.998114565E9</v>
      </c>
      <c r="D565" s="28" t="s">
        <v>2</v>
      </c>
      <c r="E565" s="27">
        <v>1.0</v>
      </c>
      <c r="F565" s="27" t="s">
        <v>1006</v>
      </c>
      <c r="G565" s="109" t="s">
        <v>35</v>
      </c>
      <c r="H565" s="28">
        <v>10313.0</v>
      </c>
      <c r="I565" s="70" t="str">
        <f t="shared" si="24"/>
        <v>10313-GSB-SDS-1043586</v>
      </c>
      <c r="J565" s="31" t="s">
        <v>1001</v>
      </c>
      <c r="K565" s="31" t="s">
        <v>55</v>
      </c>
      <c r="L565" s="120">
        <v>46221.0</v>
      </c>
      <c r="M565" s="27" t="s">
        <v>60</v>
      </c>
      <c r="N565" s="2">
        <v>3357.0</v>
      </c>
      <c r="O565" s="36" t="s">
        <v>1002</v>
      </c>
      <c r="P565" s="63">
        <v>46232.0</v>
      </c>
      <c r="Q565" s="38"/>
      <c r="R565" s="38"/>
      <c r="S565" s="38"/>
      <c r="T565" s="38"/>
      <c r="U565" s="38"/>
      <c r="V565" s="38"/>
    </row>
    <row r="566">
      <c r="A566" s="75">
        <v>46184.0</v>
      </c>
      <c r="B566" s="27">
        <v>59889.0</v>
      </c>
      <c r="C566" s="27">
        <v>4.998114565E9</v>
      </c>
      <c r="D566" s="28" t="s">
        <v>2</v>
      </c>
      <c r="E566" s="27">
        <v>1.0</v>
      </c>
      <c r="F566" s="27" t="s">
        <v>1007</v>
      </c>
      <c r="G566" s="109" t="s">
        <v>35</v>
      </c>
      <c r="H566" s="28">
        <v>10312.0</v>
      </c>
      <c r="I566" s="70" t="str">
        <f t="shared" si="24"/>
        <v>10312-GSB-SDS-1043577</v>
      </c>
      <c r="J566" s="31" t="s">
        <v>1001</v>
      </c>
      <c r="K566" s="31" t="s">
        <v>55</v>
      </c>
      <c r="L566" s="120">
        <v>46221.0</v>
      </c>
      <c r="M566" s="27" t="s">
        <v>60</v>
      </c>
      <c r="N566" s="2">
        <v>3357.0</v>
      </c>
      <c r="O566" s="36" t="s">
        <v>1002</v>
      </c>
      <c r="P566" s="63">
        <v>46232.0</v>
      </c>
      <c r="Q566" s="38"/>
      <c r="R566" s="38"/>
      <c r="S566" s="38"/>
      <c r="T566" s="38"/>
      <c r="U566" s="38"/>
      <c r="V566" s="38"/>
    </row>
    <row r="567">
      <c r="A567" s="75">
        <v>46184.0</v>
      </c>
      <c r="B567" s="27">
        <v>59889.0</v>
      </c>
      <c r="C567" s="27">
        <v>4.998114565E9</v>
      </c>
      <c r="D567" s="28" t="s">
        <v>2</v>
      </c>
      <c r="E567" s="27">
        <v>1.0</v>
      </c>
      <c r="F567" s="27" t="s">
        <v>1008</v>
      </c>
      <c r="G567" s="109" t="s">
        <v>35</v>
      </c>
      <c r="H567" s="28">
        <v>10311.0</v>
      </c>
      <c r="I567" s="70" t="str">
        <f t="shared" si="24"/>
        <v>10311-GSB-SDS-1040390</v>
      </c>
      <c r="J567" s="31" t="s">
        <v>1001</v>
      </c>
      <c r="K567" s="31" t="s">
        <v>55</v>
      </c>
      <c r="L567" s="120">
        <v>46221.0</v>
      </c>
      <c r="M567" s="27" t="s">
        <v>60</v>
      </c>
      <c r="N567" s="2">
        <v>3357.0</v>
      </c>
      <c r="O567" s="36" t="s">
        <v>1002</v>
      </c>
      <c r="P567" s="63">
        <v>46232.0</v>
      </c>
      <c r="Q567" s="38"/>
      <c r="R567" s="38"/>
      <c r="S567" s="38"/>
      <c r="T567" s="38"/>
      <c r="U567" s="38"/>
      <c r="V567" s="38"/>
    </row>
    <row r="568">
      <c r="A568" s="75">
        <v>46184.0</v>
      </c>
      <c r="B568" s="27">
        <v>59889.0</v>
      </c>
      <c r="C568" s="27">
        <v>4.998114565E9</v>
      </c>
      <c r="D568" s="28" t="s">
        <v>2</v>
      </c>
      <c r="E568" s="27">
        <v>1.0</v>
      </c>
      <c r="F568" s="27" t="s">
        <v>1009</v>
      </c>
      <c r="G568" s="109" t="s">
        <v>35</v>
      </c>
      <c r="H568" s="28">
        <v>10310.0</v>
      </c>
      <c r="I568" s="70" t="str">
        <f t="shared" si="24"/>
        <v>10310-GSB-SDS-1043571</v>
      </c>
      <c r="J568" s="31" t="s">
        <v>1001</v>
      </c>
      <c r="K568" s="31" t="s">
        <v>55</v>
      </c>
      <c r="L568" s="120">
        <v>46221.0</v>
      </c>
      <c r="M568" s="27" t="s">
        <v>60</v>
      </c>
      <c r="N568" s="2">
        <v>3357.0</v>
      </c>
      <c r="O568" s="36" t="s">
        <v>1002</v>
      </c>
      <c r="P568" s="63">
        <v>46232.0</v>
      </c>
      <c r="Q568" s="38"/>
      <c r="R568" s="38"/>
      <c r="S568" s="38"/>
      <c r="T568" s="38"/>
      <c r="U568" s="38"/>
      <c r="V568" s="38"/>
    </row>
    <row r="569">
      <c r="A569" s="75">
        <v>46184.0</v>
      </c>
      <c r="B569" s="27">
        <v>59889.0</v>
      </c>
      <c r="C569" s="27">
        <v>4.998114565E9</v>
      </c>
      <c r="D569" s="28" t="s">
        <v>2</v>
      </c>
      <c r="E569" s="27">
        <v>1.0</v>
      </c>
      <c r="F569" s="27" t="s">
        <v>1010</v>
      </c>
      <c r="G569" s="109" t="s">
        <v>35</v>
      </c>
      <c r="H569" s="28">
        <v>10309.0</v>
      </c>
      <c r="I569" s="70" t="str">
        <f t="shared" si="24"/>
        <v>10309-GSB-SDS-1043605</v>
      </c>
      <c r="J569" s="31" t="s">
        <v>1001</v>
      </c>
      <c r="K569" s="31" t="s">
        <v>55</v>
      </c>
      <c r="L569" s="120">
        <v>46221.0</v>
      </c>
      <c r="M569" s="27" t="s">
        <v>60</v>
      </c>
      <c r="N569" s="2">
        <v>3357.0</v>
      </c>
      <c r="O569" s="36" t="s">
        <v>1002</v>
      </c>
      <c r="P569" s="63">
        <v>46232.0</v>
      </c>
      <c r="Q569" s="38"/>
      <c r="R569" s="38"/>
      <c r="S569" s="38"/>
      <c r="T569" s="38"/>
      <c r="U569" s="38"/>
      <c r="V569" s="38"/>
    </row>
    <row r="570">
      <c r="A570" s="75">
        <v>46184.0</v>
      </c>
      <c r="B570" s="27">
        <v>59889.0</v>
      </c>
      <c r="C570" s="27">
        <v>4.998114565E9</v>
      </c>
      <c r="D570" s="28" t="s">
        <v>2</v>
      </c>
      <c r="E570" s="27">
        <v>1.0</v>
      </c>
      <c r="F570" s="27" t="s">
        <v>1011</v>
      </c>
      <c r="G570" s="109" t="s">
        <v>35</v>
      </c>
      <c r="H570" s="28">
        <v>10308.0</v>
      </c>
      <c r="I570" s="70" t="str">
        <f t="shared" si="24"/>
        <v>10308-GSB-SDS-1043635</v>
      </c>
      <c r="J570" s="31" t="s">
        <v>1001</v>
      </c>
      <c r="K570" s="31" t="s">
        <v>55</v>
      </c>
      <c r="L570" s="120">
        <v>46221.0</v>
      </c>
      <c r="M570" s="27" t="s">
        <v>60</v>
      </c>
      <c r="N570" s="2">
        <v>3357.0</v>
      </c>
      <c r="O570" s="36" t="s">
        <v>1002</v>
      </c>
      <c r="P570" s="63">
        <v>46232.0</v>
      </c>
      <c r="Q570" s="38"/>
      <c r="R570" s="38"/>
      <c r="S570" s="38"/>
      <c r="T570" s="38"/>
      <c r="U570" s="38"/>
      <c r="V570" s="38"/>
    </row>
    <row r="571">
      <c r="A571" s="75">
        <v>46209.0</v>
      </c>
      <c r="B571" s="27" t="s">
        <v>438</v>
      </c>
      <c r="C571" s="27" t="s">
        <v>35</v>
      </c>
      <c r="D571" s="28" t="s">
        <v>31</v>
      </c>
      <c r="E571" s="27">
        <v>1.0</v>
      </c>
      <c r="F571" s="109" t="s">
        <v>35</v>
      </c>
      <c r="G571" s="27" t="s">
        <v>35</v>
      </c>
      <c r="H571" s="28">
        <v>10401.0</v>
      </c>
      <c r="I571" s="70" t="str">
        <f t="shared" si="24"/>
        <v>10401-GSB-N/A</v>
      </c>
      <c r="J571" s="31" t="s">
        <v>1001</v>
      </c>
      <c r="K571" s="31" t="s">
        <v>55</v>
      </c>
      <c r="L571" s="120">
        <v>46221.0</v>
      </c>
      <c r="M571" s="27" t="s">
        <v>60</v>
      </c>
      <c r="N571" s="2">
        <v>3357.0</v>
      </c>
      <c r="O571" s="36" t="s">
        <v>1002</v>
      </c>
      <c r="P571" s="63">
        <v>46232.0</v>
      </c>
      <c r="Q571" s="38"/>
      <c r="R571" s="38"/>
      <c r="S571" s="38"/>
      <c r="T571" s="38"/>
      <c r="U571" s="38"/>
      <c r="V571" s="38"/>
    </row>
    <row r="572">
      <c r="A572" s="75">
        <v>46209.0</v>
      </c>
      <c r="B572" s="27" t="s">
        <v>438</v>
      </c>
      <c r="C572" s="27" t="s">
        <v>35</v>
      </c>
      <c r="D572" s="28" t="s">
        <v>31</v>
      </c>
      <c r="E572" s="27">
        <v>1.0</v>
      </c>
      <c r="F572" s="109" t="s">
        <v>35</v>
      </c>
      <c r="G572" s="27" t="s">
        <v>35</v>
      </c>
      <c r="H572" s="28">
        <v>10402.0</v>
      </c>
      <c r="I572" s="70" t="str">
        <f t="shared" si="24"/>
        <v>10402-GSB-N/A</v>
      </c>
      <c r="J572" s="31" t="s">
        <v>1001</v>
      </c>
      <c r="K572" s="31" t="s">
        <v>55</v>
      </c>
      <c r="L572" s="120">
        <v>46221.0</v>
      </c>
      <c r="M572" s="27" t="s">
        <v>60</v>
      </c>
      <c r="N572" s="2">
        <v>3357.0</v>
      </c>
      <c r="O572" s="36" t="s">
        <v>1002</v>
      </c>
      <c r="P572" s="63">
        <v>46232.0</v>
      </c>
      <c r="Q572" s="38"/>
      <c r="R572" s="38"/>
      <c r="S572" s="38"/>
      <c r="T572" s="38"/>
      <c r="U572" s="38"/>
      <c r="V572" s="38"/>
    </row>
    <row r="573">
      <c r="A573" s="75">
        <v>46209.0</v>
      </c>
      <c r="B573" s="27" t="s">
        <v>438</v>
      </c>
      <c r="C573" s="27" t="s">
        <v>35</v>
      </c>
      <c r="D573" s="28" t="s">
        <v>31</v>
      </c>
      <c r="E573" s="27">
        <v>1.0</v>
      </c>
      <c r="F573" s="109" t="s">
        <v>35</v>
      </c>
      <c r="G573" s="27" t="s">
        <v>35</v>
      </c>
      <c r="H573" s="28">
        <v>10403.0</v>
      </c>
      <c r="I573" s="70" t="str">
        <f t="shared" si="24"/>
        <v>10403-GSB-N/A</v>
      </c>
      <c r="J573" s="31" t="s">
        <v>1001</v>
      </c>
      <c r="K573" s="31" t="s">
        <v>55</v>
      </c>
      <c r="L573" s="120">
        <v>46221.0</v>
      </c>
      <c r="M573" s="27" t="s">
        <v>60</v>
      </c>
      <c r="N573" s="2">
        <v>3357.0</v>
      </c>
      <c r="O573" s="36" t="s">
        <v>1002</v>
      </c>
      <c r="P573" s="63">
        <v>46232.0</v>
      </c>
      <c r="Q573" s="38"/>
      <c r="R573" s="38"/>
      <c r="S573" s="38"/>
      <c r="T573" s="38"/>
      <c r="U573" s="38"/>
      <c r="V573" s="38"/>
    </row>
    <row r="574">
      <c r="A574" s="75">
        <v>46189.0</v>
      </c>
      <c r="B574" s="27" t="s">
        <v>233</v>
      </c>
      <c r="C574" s="27">
        <v>4.998117557E9</v>
      </c>
      <c r="D574" s="28" t="s">
        <v>5</v>
      </c>
      <c r="E574" s="27">
        <v>1.0</v>
      </c>
      <c r="F574" s="27" t="s">
        <v>1012</v>
      </c>
      <c r="G574" s="27" t="s">
        <v>1013</v>
      </c>
      <c r="H574" s="28">
        <v>5627.0</v>
      </c>
      <c r="I574" s="70" t="str">
        <f t="shared" si="24"/>
        <v>5627-GSB-SDS - 1032934</v>
      </c>
      <c r="J574" s="31" t="s">
        <v>1001</v>
      </c>
      <c r="K574" s="31" t="s">
        <v>55</v>
      </c>
      <c r="L574" s="120">
        <v>46221.0</v>
      </c>
      <c r="M574" s="27" t="s">
        <v>60</v>
      </c>
      <c r="N574" s="2">
        <v>3356.0</v>
      </c>
      <c r="O574" s="36" t="s">
        <v>1002</v>
      </c>
      <c r="P574" s="63">
        <v>46232.0</v>
      </c>
      <c r="Q574" s="38"/>
      <c r="R574" s="38"/>
      <c r="S574" s="38"/>
      <c r="T574" s="38"/>
      <c r="U574" s="38"/>
      <c r="V574" s="38"/>
    </row>
    <row r="575">
      <c r="A575" s="75">
        <v>46189.0</v>
      </c>
      <c r="B575" s="27" t="s">
        <v>233</v>
      </c>
      <c r="C575" s="27">
        <v>4.998117557E9</v>
      </c>
      <c r="D575" s="28" t="s">
        <v>5</v>
      </c>
      <c r="E575" s="27">
        <v>1.0</v>
      </c>
      <c r="F575" s="27" t="s">
        <v>1014</v>
      </c>
      <c r="G575" s="27" t="s">
        <v>1015</v>
      </c>
      <c r="H575" s="28">
        <v>5600.0</v>
      </c>
      <c r="I575" s="70" t="str">
        <f t="shared" si="24"/>
        <v>5600-GSB-SDS - 1032933</v>
      </c>
      <c r="J575" s="31" t="s">
        <v>1001</v>
      </c>
      <c r="K575" s="31" t="s">
        <v>55</v>
      </c>
      <c r="L575" s="120">
        <v>46221.0</v>
      </c>
      <c r="M575" s="27" t="s">
        <v>60</v>
      </c>
      <c r="N575" s="2">
        <v>3356.0</v>
      </c>
      <c r="O575" s="36" t="s">
        <v>1002</v>
      </c>
      <c r="P575" s="63">
        <v>46232.0</v>
      </c>
      <c r="Q575" s="38"/>
      <c r="R575" s="38"/>
      <c r="S575" s="38"/>
      <c r="T575" s="38"/>
      <c r="U575" s="38"/>
      <c r="V575" s="38"/>
    </row>
    <row r="576">
      <c r="A576" s="75">
        <v>46189.0</v>
      </c>
      <c r="B576" s="27" t="s">
        <v>233</v>
      </c>
      <c r="C576" s="27">
        <v>4.998117557E9</v>
      </c>
      <c r="D576" s="28" t="s">
        <v>5</v>
      </c>
      <c r="E576" s="27">
        <v>1.0</v>
      </c>
      <c r="F576" s="27" t="s">
        <v>1016</v>
      </c>
      <c r="G576" s="27" t="s">
        <v>1017</v>
      </c>
      <c r="H576" s="28">
        <v>4888.0</v>
      </c>
      <c r="I576" s="70" t="str">
        <f t="shared" si="24"/>
        <v>4888-GSB-SDS - 1032335</v>
      </c>
      <c r="J576" s="31" t="s">
        <v>1001</v>
      </c>
      <c r="K576" s="31" t="s">
        <v>55</v>
      </c>
      <c r="L576" s="120">
        <v>46221.0</v>
      </c>
      <c r="M576" s="27" t="s">
        <v>60</v>
      </c>
      <c r="N576" s="2">
        <v>3356.0</v>
      </c>
      <c r="O576" s="36" t="s">
        <v>1002</v>
      </c>
      <c r="P576" s="63">
        <v>46232.0</v>
      </c>
      <c r="Q576" s="38"/>
      <c r="R576" s="38"/>
      <c r="S576" s="38"/>
      <c r="T576" s="38"/>
      <c r="U576" s="38"/>
      <c r="V576" s="38"/>
    </row>
    <row r="577">
      <c r="A577" s="75">
        <v>46189.0</v>
      </c>
      <c r="B577" s="27" t="s">
        <v>233</v>
      </c>
      <c r="C577" s="27">
        <v>4.998117557E9</v>
      </c>
      <c r="D577" s="28" t="s">
        <v>5</v>
      </c>
      <c r="E577" s="27">
        <v>1.0</v>
      </c>
      <c r="F577" s="27" t="s">
        <v>1018</v>
      </c>
      <c r="G577" s="27" t="s">
        <v>1019</v>
      </c>
      <c r="H577" s="28">
        <v>5595.0</v>
      </c>
      <c r="I577" s="70" t="str">
        <f t="shared" si="24"/>
        <v>5595-GSB-SDS - 1032994</v>
      </c>
      <c r="J577" s="31" t="s">
        <v>1001</v>
      </c>
      <c r="K577" s="31" t="s">
        <v>55</v>
      </c>
      <c r="L577" s="120">
        <v>46221.0</v>
      </c>
      <c r="M577" s="27" t="s">
        <v>60</v>
      </c>
      <c r="N577" s="2">
        <v>3356.0</v>
      </c>
      <c r="O577" s="36" t="s">
        <v>1002</v>
      </c>
      <c r="P577" s="63">
        <v>46232.0</v>
      </c>
      <c r="Q577" s="38"/>
      <c r="R577" s="38"/>
      <c r="S577" s="38"/>
      <c r="T577" s="38"/>
      <c r="U577" s="38"/>
      <c r="V577" s="38"/>
    </row>
    <row r="578">
      <c r="A578" s="75">
        <v>46189.0</v>
      </c>
      <c r="B578" s="27" t="s">
        <v>233</v>
      </c>
      <c r="C578" s="27">
        <v>4.998117557E9</v>
      </c>
      <c r="D578" s="28" t="s">
        <v>5</v>
      </c>
      <c r="E578" s="27">
        <v>1.0</v>
      </c>
      <c r="F578" s="27" t="s">
        <v>1020</v>
      </c>
      <c r="G578" s="27" t="s">
        <v>1021</v>
      </c>
      <c r="H578" s="28">
        <v>5596.0</v>
      </c>
      <c r="I578" s="70" t="str">
        <f t="shared" si="24"/>
        <v>5596-GSB-SDS - 1032966</v>
      </c>
      <c r="J578" s="31" t="s">
        <v>1001</v>
      </c>
      <c r="K578" s="31" t="s">
        <v>55</v>
      </c>
      <c r="L578" s="120">
        <v>46221.0</v>
      </c>
      <c r="M578" s="27" t="s">
        <v>60</v>
      </c>
      <c r="N578" s="2">
        <v>3356.0</v>
      </c>
      <c r="O578" s="36" t="s">
        <v>1002</v>
      </c>
      <c r="P578" s="63">
        <v>46232.0</v>
      </c>
      <c r="Q578" s="38"/>
      <c r="R578" s="38"/>
      <c r="S578" s="38"/>
      <c r="T578" s="38"/>
      <c r="U578" s="38"/>
      <c r="V578" s="38"/>
    </row>
    <row r="579">
      <c r="A579" s="75">
        <v>46189.0</v>
      </c>
      <c r="B579" s="27" t="s">
        <v>233</v>
      </c>
      <c r="C579" s="27">
        <v>4.998117557E9</v>
      </c>
      <c r="D579" s="28" t="s">
        <v>5</v>
      </c>
      <c r="E579" s="27">
        <v>1.0</v>
      </c>
      <c r="F579" s="27" t="s">
        <v>1022</v>
      </c>
      <c r="G579" s="27" t="s">
        <v>1023</v>
      </c>
      <c r="H579" s="28">
        <v>5606.0</v>
      </c>
      <c r="I579" s="70" t="str">
        <f t="shared" si="24"/>
        <v>5606-GSB-SDS - 1032987</v>
      </c>
      <c r="J579" s="31" t="s">
        <v>1001</v>
      </c>
      <c r="K579" s="31" t="s">
        <v>55</v>
      </c>
      <c r="L579" s="120">
        <v>46221.0</v>
      </c>
      <c r="M579" s="27" t="s">
        <v>60</v>
      </c>
      <c r="N579" s="2">
        <v>3356.0</v>
      </c>
      <c r="O579" s="36" t="s">
        <v>1002</v>
      </c>
      <c r="P579" s="63">
        <v>46232.0</v>
      </c>
      <c r="Q579" s="38"/>
      <c r="R579" s="38"/>
      <c r="S579" s="38"/>
      <c r="T579" s="38"/>
      <c r="U579" s="38"/>
      <c r="V579" s="38"/>
    </row>
    <row r="580">
      <c r="A580" s="75">
        <v>46189.0</v>
      </c>
      <c r="B580" s="27" t="s">
        <v>233</v>
      </c>
      <c r="C580" s="27">
        <v>4.998117557E9</v>
      </c>
      <c r="D580" s="28" t="s">
        <v>5</v>
      </c>
      <c r="E580" s="27">
        <v>1.0</v>
      </c>
      <c r="F580" s="27" t="s">
        <v>1024</v>
      </c>
      <c r="G580" s="27" t="s">
        <v>1025</v>
      </c>
      <c r="H580" s="28">
        <v>5562.0</v>
      </c>
      <c r="I580" s="70" t="str">
        <f t="shared" si="24"/>
        <v>5562-GSB-SDS - 1032921</v>
      </c>
      <c r="J580" s="31" t="s">
        <v>1001</v>
      </c>
      <c r="K580" s="31" t="s">
        <v>55</v>
      </c>
      <c r="L580" s="120">
        <v>46221.0</v>
      </c>
      <c r="M580" s="27" t="s">
        <v>60</v>
      </c>
      <c r="N580" s="2">
        <v>3356.0</v>
      </c>
      <c r="O580" s="36" t="s">
        <v>1002</v>
      </c>
      <c r="P580" s="63">
        <v>46232.0</v>
      </c>
      <c r="Q580" s="38"/>
      <c r="R580" s="38"/>
      <c r="S580" s="38"/>
      <c r="T580" s="38"/>
      <c r="U580" s="38"/>
      <c r="V580" s="38"/>
    </row>
    <row r="581">
      <c r="A581" s="75">
        <v>46189.0</v>
      </c>
      <c r="B581" s="27" t="s">
        <v>233</v>
      </c>
      <c r="C581" s="27">
        <v>4.998117557E9</v>
      </c>
      <c r="D581" s="28" t="s">
        <v>5</v>
      </c>
      <c r="E581" s="27">
        <v>1.0</v>
      </c>
      <c r="F581" s="27" t="s">
        <v>1026</v>
      </c>
      <c r="G581" s="27" t="s">
        <v>1027</v>
      </c>
      <c r="H581" s="28">
        <v>5610.0</v>
      </c>
      <c r="I581" s="70" t="str">
        <f t="shared" si="24"/>
        <v>5610-GSB-SDS - 1032964</v>
      </c>
      <c r="J581" s="31" t="s">
        <v>1001</v>
      </c>
      <c r="K581" s="31" t="s">
        <v>55</v>
      </c>
      <c r="L581" s="120">
        <v>46221.0</v>
      </c>
      <c r="M581" s="27" t="s">
        <v>60</v>
      </c>
      <c r="N581" s="2">
        <v>3356.0</v>
      </c>
      <c r="O581" s="36" t="s">
        <v>1002</v>
      </c>
      <c r="P581" s="63">
        <v>46232.0</v>
      </c>
      <c r="Q581" s="38"/>
      <c r="R581" s="38"/>
      <c r="S581" s="38"/>
      <c r="T581" s="38"/>
      <c r="U581" s="38"/>
      <c r="V581" s="38"/>
    </row>
    <row r="582">
      <c r="A582" s="75">
        <v>46189.0</v>
      </c>
      <c r="B582" s="27" t="s">
        <v>233</v>
      </c>
      <c r="C582" s="27">
        <v>4.998117557E9</v>
      </c>
      <c r="D582" s="28" t="s">
        <v>5</v>
      </c>
      <c r="E582" s="27">
        <v>1.0</v>
      </c>
      <c r="F582" s="27" t="s">
        <v>1028</v>
      </c>
      <c r="G582" s="27" t="s">
        <v>1029</v>
      </c>
      <c r="H582" s="28">
        <v>5808.0</v>
      </c>
      <c r="I582" s="70" t="str">
        <f t="shared" si="24"/>
        <v>5808-GSB-SDS - 1037101</v>
      </c>
      <c r="J582" s="31" t="s">
        <v>1001</v>
      </c>
      <c r="K582" s="31" t="s">
        <v>55</v>
      </c>
      <c r="L582" s="120">
        <v>46221.0</v>
      </c>
      <c r="M582" s="27" t="s">
        <v>60</v>
      </c>
      <c r="N582" s="2">
        <v>3356.0</v>
      </c>
      <c r="O582" s="36" t="s">
        <v>1002</v>
      </c>
      <c r="P582" s="63">
        <v>46232.0</v>
      </c>
      <c r="Q582" s="38"/>
      <c r="R582" s="38"/>
      <c r="S582" s="38"/>
      <c r="T582" s="38"/>
      <c r="U582" s="38"/>
      <c r="V582" s="38"/>
    </row>
    <row r="583">
      <c r="A583" s="75">
        <v>46189.0</v>
      </c>
      <c r="B583" s="27" t="s">
        <v>233</v>
      </c>
      <c r="C583" s="27">
        <v>4.998117557E9</v>
      </c>
      <c r="D583" s="28" t="s">
        <v>5</v>
      </c>
      <c r="E583" s="27">
        <v>1.0</v>
      </c>
      <c r="F583" s="27" t="s">
        <v>1030</v>
      </c>
      <c r="G583" s="27" t="s">
        <v>1031</v>
      </c>
      <c r="H583" s="28">
        <v>4882.0</v>
      </c>
      <c r="I583" s="70" t="str">
        <f t="shared" si="24"/>
        <v>4882-GSB-SDS - 1032347</v>
      </c>
      <c r="J583" s="31" t="s">
        <v>1001</v>
      </c>
      <c r="K583" s="31" t="s">
        <v>55</v>
      </c>
      <c r="L583" s="120">
        <v>46221.0</v>
      </c>
      <c r="M583" s="27" t="s">
        <v>60</v>
      </c>
      <c r="N583" s="2">
        <v>3356.0</v>
      </c>
      <c r="O583" s="36" t="s">
        <v>1002</v>
      </c>
      <c r="P583" s="63">
        <v>46232.0</v>
      </c>
      <c r="Q583" s="38"/>
      <c r="R583" s="38"/>
      <c r="S583" s="38"/>
      <c r="T583" s="38"/>
      <c r="U583" s="38"/>
      <c r="V583" s="38"/>
    </row>
    <row r="584">
      <c r="A584" s="75">
        <v>46189.0</v>
      </c>
      <c r="B584" s="27" t="s">
        <v>233</v>
      </c>
      <c r="C584" s="27">
        <v>4.998117557E9</v>
      </c>
      <c r="D584" s="28" t="s">
        <v>5</v>
      </c>
      <c r="E584" s="27">
        <v>1.0</v>
      </c>
      <c r="F584" s="27" t="s">
        <v>1032</v>
      </c>
      <c r="G584" s="27" t="s">
        <v>1033</v>
      </c>
      <c r="H584" s="28">
        <v>5119.0</v>
      </c>
      <c r="I584" s="70" t="str">
        <f t="shared" si="24"/>
        <v>5119-GSB-SDS - 1032349</v>
      </c>
      <c r="J584" s="31" t="s">
        <v>1001</v>
      </c>
      <c r="K584" s="31" t="s">
        <v>55</v>
      </c>
      <c r="L584" s="120">
        <v>46221.0</v>
      </c>
      <c r="M584" s="27" t="s">
        <v>60</v>
      </c>
      <c r="N584" s="2">
        <v>3361.0</v>
      </c>
      <c r="O584" s="36" t="s">
        <v>1034</v>
      </c>
      <c r="P584" s="63">
        <v>46234.0</v>
      </c>
      <c r="Q584" s="38"/>
      <c r="R584" s="38"/>
      <c r="S584" s="38"/>
      <c r="T584" s="38"/>
      <c r="U584" s="38"/>
      <c r="V584" s="38"/>
    </row>
    <row r="585">
      <c r="A585" s="75">
        <v>46189.0</v>
      </c>
      <c r="B585" s="27" t="s">
        <v>233</v>
      </c>
      <c r="C585" s="27">
        <v>4.998117557E9</v>
      </c>
      <c r="D585" s="28" t="s">
        <v>5</v>
      </c>
      <c r="E585" s="27">
        <v>1.0</v>
      </c>
      <c r="F585" s="27" t="s">
        <v>1035</v>
      </c>
      <c r="G585" s="27" t="s">
        <v>1036</v>
      </c>
      <c r="H585" s="28">
        <v>4922.0</v>
      </c>
      <c r="I585" s="70" t="str">
        <f t="shared" si="24"/>
        <v>4922-GSB-SDS - 1032355</v>
      </c>
      <c r="J585" s="31" t="s">
        <v>1001</v>
      </c>
      <c r="K585" s="31" t="s">
        <v>55</v>
      </c>
      <c r="L585" s="120">
        <v>46221.0</v>
      </c>
      <c r="M585" s="27" t="s">
        <v>60</v>
      </c>
      <c r="N585" s="2">
        <v>3356.0</v>
      </c>
      <c r="O585" s="36" t="s">
        <v>1002</v>
      </c>
      <c r="P585" s="63">
        <v>46232.0</v>
      </c>
      <c r="Q585" s="38"/>
      <c r="R585" s="38"/>
      <c r="S585" s="38"/>
      <c r="T585" s="38"/>
      <c r="U585" s="38"/>
      <c r="V585" s="38"/>
    </row>
    <row r="586">
      <c r="A586" s="75">
        <v>46189.0</v>
      </c>
      <c r="B586" s="27" t="s">
        <v>233</v>
      </c>
      <c r="C586" s="27">
        <v>4.998117557E9</v>
      </c>
      <c r="D586" s="28" t="s">
        <v>5</v>
      </c>
      <c r="E586" s="27">
        <v>1.0</v>
      </c>
      <c r="F586" s="27" t="s">
        <v>1037</v>
      </c>
      <c r="G586" s="27" t="s">
        <v>1038</v>
      </c>
      <c r="H586" s="28">
        <v>5795.0</v>
      </c>
      <c r="I586" s="70" t="str">
        <f t="shared" si="24"/>
        <v>5795-GSB-SDS - 1037103</v>
      </c>
      <c r="J586" s="31" t="s">
        <v>1001</v>
      </c>
      <c r="K586" s="31" t="s">
        <v>55</v>
      </c>
      <c r="L586" s="120">
        <v>46221.0</v>
      </c>
      <c r="M586" s="27" t="s">
        <v>60</v>
      </c>
      <c r="N586" s="2">
        <v>3356.0</v>
      </c>
      <c r="O586" s="36" t="s">
        <v>1002</v>
      </c>
      <c r="P586" s="63">
        <v>46232.0</v>
      </c>
      <c r="Q586" s="38"/>
      <c r="R586" s="38"/>
      <c r="S586" s="38"/>
      <c r="T586" s="38"/>
      <c r="U586" s="38"/>
      <c r="V586" s="38"/>
    </row>
    <row r="587">
      <c r="A587" s="75">
        <v>46189.0</v>
      </c>
      <c r="B587" s="27" t="s">
        <v>233</v>
      </c>
      <c r="C587" s="27">
        <v>4.998117557E9</v>
      </c>
      <c r="D587" s="28" t="s">
        <v>5</v>
      </c>
      <c r="E587" s="27">
        <v>1.0</v>
      </c>
      <c r="F587" s="27" t="s">
        <v>1039</v>
      </c>
      <c r="G587" s="27" t="s">
        <v>1040</v>
      </c>
      <c r="H587" s="28">
        <v>5571.0</v>
      </c>
      <c r="I587" s="70" t="str">
        <f t="shared" si="24"/>
        <v>5571-GSB-SDS - 1032932</v>
      </c>
      <c r="J587" s="31" t="s">
        <v>1001</v>
      </c>
      <c r="K587" s="31" t="s">
        <v>55</v>
      </c>
      <c r="L587" s="120">
        <v>46221.0</v>
      </c>
      <c r="M587" s="27" t="s">
        <v>60</v>
      </c>
      <c r="N587" s="2">
        <v>3356.0</v>
      </c>
      <c r="O587" s="36" t="s">
        <v>1002</v>
      </c>
      <c r="P587" s="63">
        <v>46232.0</v>
      </c>
      <c r="Q587" s="38"/>
      <c r="R587" s="38"/>
      <c r="S587" s="38"/>
      <c r="T587" s="38"/>
      <c r="U587" s="38"/>
      <c r="V587" s="38"/>
    </row>
    <row r="588">
      <c r="A588" s="75">
        <v>46189.0</v>
      </c>
      <c r="B588" s="27" t="s">
        <v>233</v>
      </c>
      <c r="C588" s="27">
        <v>4.998117557E9</v>
      </c>
      <c r="D588" s="28" t="s">
        <v>5</v>
      </c>
      <c r="E588" s="27">
        <v>1.0</v>
      </c>
      <c r="F588" s="27" t="s">
        <v>1041</v>
      </c>
      <c r="G588" s="27" t="s">
        <v>1042</v>
      </c>
      <c r="H588" s="28">
        <v>4910.0</v>
      </c>
      <c r="I588" s="30" t="str">
        <f t="shared" si="24"/>
        <v>4910-GSB-SDS - 1032429</v>
      </c>
      <c r="J588" s="31" t="s">
        <v>1001</v>
      </c>
      <c r="K588" s="31" t="s">
        <v>55</v>
      </c>
      <c r="L588" s="120">
        <v>46221.0</v>
      </c>
      <c r="M588" s="27" t="s">
        <v>60</v>
      </c>
      <c r="N588" s="2">
        <v>3357.0</v>
      </c>
      <c r="O588" s="36" t="s">
        <v>1002</v>
      </c>
      <c r="P588" s="63">
        <v>46232.0</v>
      </c>
      <c r="Q588" s="38"/>
      <c r="R588" s="38"/>
      <c r="S588" s="38"/>
      <c r="T588" s="38"/>
      <c r="U588" s="38"/>
      <c r="V588" s="38"/>
    </row>
    <row r="589">
      <c r="A589" s="75">
        <v>46209.0</v>
      </c>
      <c r="B589" s="27" t="s">
        <v>438</v>
      </c>
      <c r="C589" s="27" t="s">
        <v>35</v>
      </c>
      <c r="D589" s="28" t="s">
        <v>36</v>
      </c>
      <c r="E589" s="27">
        <v>1.0</v>
      </c>
      <c r="F589" s="109" t="s">
        <v>35</v>
      </c>
      <c r="G589" s="27" t="s">
        <v>35</v>
      </c>
      <c r="H589" s="28" t="s">
        <v>35</v>
      </c>
      <c r="I589" s="70" t="str">
        <f t="shared" si="24"/>
        <v>N/A-GSB-N/A</v>
      </c>
      <c r="J589" s="31" t="s">
        <v>1001</v>
      </c>
      <c r="K589" s="31" t="s">
        <v>55</v>
      </c>
      <c r="L589" s="120">
        <v>46221.0</v>
      </c>
      <c r="M589" s="27" t="s">
        <v>60</v>
      </c>
      <c r="N589" s="2">
        <v>3356.0</v>
      </c>
      <c r="O589" s="36" t="s">
        <v>1002</v>
      </c>
      <c r="P589" s="63">
        <v>46232.0</v>
      </c>
      <c r="Q589" s="38"/>
      <c r="R589" s="38"/>
      <c r="S589" s="38"/>
      <c r="T589" s="38"/>
      <c r="U589" s="38"/>
      <c r="V589" s="38"/>
    </row>
    <row r="590">
      <c r="A590" s="75">
        <v>46209.0</v>
      </c>
      <c r="B590" s="27" t="s">
        <v>438</v>
      </c>
      <c r="C590" s="27" t="s">
        <v>35</v>
      </c>
      <c r="D590" s="28" t="s">
        <v>36</v>
      </c>
      <c r="E590" s="27">
        <v>1.0</v>
      </c>
      <c r="F590" s="109" t="s">
        <v>35</v>
      </c>
      <c r="G590" s="27" t="s">
        <v>35</v>
      </c>
      <c r="H590" s="28" t="s">
        <v>35</v>
      </c>
      <c r="I590" s="70" t="str">
        <f t="shared" si="24"/>
        <v>N/A-GSB-N/A</v>
      </c>
      <c r="J590" s="31" t="s">
        <v>1001</v>
      </c>
      <c r="K590" s="31" t="s">
        <v>55</v>
      </c>
      <c r="L590" s="120">
        <v>46221.0</v>
      </c>
      <c r="M590" s="27" t="s">
        <v>60</v>
      </c>
      <c r="N590" s="2">
        <v>3356.0</v>
      </c>
      <c r="O590" s="36" t="s">
        <v>1002</v>
      </c>
      <c r="P590" s="63">
        <v>46232.0</v>
      </c>
      <c r="Q590" s="38"/>
      <c r="R590" s="38"/>
      <c r="S590" s="38"/>
      <c r="T590" s="38"/>
      <c r="U590" s="38"/>
      <c r="V590" s="38"/>
    </row>
    <row r="591">
      <c r="A591" s="75">
        <v>46209.0</v>
      </c>
      <c r="B591" s="27" t="s">
        <v>438</v>
      </c>
      <c r="C591" s="27" t="s">
        <v>35</v>
      </c>
      <c r="D591" s="28" t="s">
        <v>36</v>
      </c>
      <c r="E591" s="27">
        <v>1.0</v>
      </c>
      <c r="F591" s="109" t="s">
        <v>35</v>
      </c>
      <c r="G591" s="27" t="s">
        <v>35</v>
      </c>
      <c r="H591" s="28" t="s">
        <v>35</v>
      </c>
      <c r="I591" s="70" t="str">
        <f t="shared" si="24"/>
        <v>N/A-GSB-N/A</v>
      </c>
      <c r="J591" s="31" t="s">
        <v>1001</v>
      </c>
      <c r="K591" s="31" t="s">
        <v>55</v>
      </c>
      <c r="L591" s="120">
        <v>46221.0</v>
      </c>
      <c r="M591" s="27" t="s">
        <v>60</v>
      </c>
      <c r="N591" s="2">
        <v>3356.0</v>
      </c>
      <c r="O591" s="36" t="s">
        <v>1002</v>
      </c>
      <c r="P591" s="63">
        <v>46232.0</v>
      </c>
      <c r="Q591" s="38"/>
      <c r="R591" s="38"/>
      <c r="S591" s="38"/>
      <c r="T591" s="38"/>
      <c r="U591" s="38"/>
      <c r="V591" s="38"/>
    </row>
    <row r="592">
      <c r="A592" s="75">
        <v>46209.0</v>
      </c>
      <c r="B592" s="27" t="s">
        <v>438</v>
      </c>
      <c r="C592" s="27" t="s">
        <v>35</v>
      </c>
      <c r="D592" s="28" t="s">
        <v>36</v>
      </c>
      <c r="E592" s="27">
        <v>1.0</v>
      </c>
      <c r="F592" s="109" t="s">
        <v>35</v>
      </c>
      <c r="G592" s="27" t="s">
        <v>35</v>
      </c>
      <c r="H592" s="28" t="s">
        <v>35</v>
      </c>
      <c r="I592" s="70" t="str">
        <f t="shared" si="24"/>
        <v>N/A-GSB-N/A</v>
      </c>
      <c r="J592" s="31" t="s">
        <v>1001</v>
      </c>
      <c r="K592" s="31" t="s">
        <v>55</v>
      </c>
      <c r="L592" s="120">
        <v>46221.0</v>
      </c>
      <c r="M592" s="27" t="s">
        <v>60</v>
      </c>
      <c r="N592" s="2">
        <v>3356.0</v>
      </c>
      <c r="O592" s="36" t="s">
        <v>1002</v>
      </c>
      <c r="P592" s="63">
        <v>46232.0</v>
      </c>
      <c r="Q592" s="38"/>
      <c r="R592" s="38"/>
      <c r="S592" s="38"/>
      <c r="T592" s="38"/>
      <c r="U592" s="38"/>
      <c r="V592" s="38"/>
    </row>
    <row r="593">
      <c r="A593" s="75">
        <v>46209.0</v>
      </c>
      <c r="B593" s="27" t="s">
        <v>438</v>
      </c>
      <c r="C593" s="27" t="s">
        <v>35</v>
      </c>
      <c r="D593" s="28" t="s">
        <v>36</v>
      </c>
      <c r="E593" s="27">
        <v>1.0</v>
      </c>
      <c r="F593" s="109" t="s">
        <v>35</v>
      </c>
      <c r="G593" s="27" t="s">
        <v>35</v>
      </c>
      <c r="H593" s="28" t="s">
        <v>35</v>
      </c>
      <c r="I593" s="70" t="str">
        <f t="shared" si="24"/>
        <v>N/A-GSB-N/A</v>
      </c>
      <c r="J593" s="31" t="s">
        <v>1001</v>
      </c>
      <c r="K593" s="31" t="s">
        <v>55</v>
      </c>
      <c r="L593" s="120">
        <v>46221.0</v>
      </c>
      <c r="M593" s="27" t="s">
        <v>60</v>
      </c>
      <c r="N593" s="2">
        <v>3356.0</v>
      </c>
      <c r="O593" s="36" t="s">
        <v>1002</v>
      </c>
      <c r="P593" s="63">
        <v>46232.0</v>
      </c>
      <c r="Q593" s="38"/>
      <c r="R593" s="38"/>
      <c r="S593" s="38"/>
      <c r="T593" s="38"/>
      <c r="U593" s="38"/>
      <c r="V593" s="38"/>
    </row>
    <row r="594">
      <c r="A594" s="75">
        <v>46209.0</v>
      </c>
      <c r="B594" s="27" t="s">
        <v>438</v>
      </c>
      <c r="C594" s="27" t="s">
        <v>35</v>
      </c>
      <c r="D594" s="28" t="s">
        <v>36</v>
      </c>
      <c r="E594" s="27">
        <v>1.0</v>
      </c>
      <c r="F594" s="109" t="s">
        <v>35</v>
      </c>
      <c r="G594" s="27" t="s">
        <v>35</v>
      </c>
      <c r="H594" s="28" t="s">
        <v>35</v>
      </c>
      <c r="I594" s="70" t="str">
        <f t="shared" si="24"/>
        <v>N/A-GSB-N/A</v>
      </c>
      <c r="J594" s="31" t="s">
        <v>1001</v>
      </c>
      <c r="K594" s="31" t="s">
        <v>55</v>
      </c>
      <c r="L594" s="120">
        <v>46221.0</v>
      </c>
      <c r="M594" s="27" t="s">
        <v>60</v>
      </c>
      <c r="N594" s="2">
        <v>3356.0</v>
      </c>
      <c r="O594" s="36" t="s">
        <v>1002</v>
      </c>
      <c r="P594" s="63">
        <v>46232.0</v>
      </c>
      <c r="Q594" s="38"/>
      <c r="R594" s="38"/>
      <c r="S594" s="38"/>
      <c r="T594" s="38"/>
      <c r="U594" s="38"/>
      <c r="V594" s="38"/>
    </row>
    <row r="595">
      <c r="A595" s="75">
        <v>46209.0</v>
      </c>
      <c r="B595" s="27" t="s">
        <v>438</v>
      </c>
      <c r="C595" s="27" t="s">
        <v>35</v>
      </c>
      <c r="D595" s="28" t="s">
        <v>36</v>
      </c>
      <c r="E595" s="27">
        <v>1.0</v>
      </c>
      <c r="F595" s="109" t="s">
        <v>35</v>
      </c>
      <c r="G595" s="27" t="s">
        <v>35</v>
      </c>
      <c r="H595" s="28" t="s">
        <v>35</v>
      </c>
      <c r="I595" s="70" t="str">
        <f t="shared" si="24"/>
        <v>N/A-GSB-N/A</v>
      </c>
      <c r="J595" s="31" t="s">
        <v>1001</v>
      </c>
      <c r="K595" s="31" t="s">
        <v>55</v>
      </c>
      <c r="L595" s="120">
        <v>46221.0</v>
      </c>
      <c r="M595" s="27" t="s">
        <v>60</v>
      </c>
      <c r="N595" s="2">
        <v>3356.0</v>
      </c>
      <c r="O595" s="36" t="s">
        <v>1002</v>
      </c>
      <c r="P595" s="63">
        <v>46232.0</v>
      </c>
      <c r="Q595" s="38"/>
      <c r="R595" s="38"/>
      <c r="S595" s="38"/>
      <c r="T595" s="38"/>
      <c r="U595" s="38"/>
      <c r="V595" s="38"/>
    </row>
    <row r="596">
      <c r="A596" s="75">
        <v>46209.0</v>
      </c>
      <c r="B596" s="27" t="s">
        <v>438</v>
      </c>
      <c r="C596" s="27" t="s">
        <v>35</v>
      </c>
      <c r="D596" s="28" t="s">
        <v>36</v>
      </c>
      <c r="E596" s="27">
        <v>1.0</v>
      </c>
      <c r="F596" s="109" t="s">
        <v>35</v>
      </c>
      <c r="G596" s="27" t="s">
        <v>35</v>
      </c>
      <c r="H596" s="28" t="s">
        <v>35</v>
      </c>
      <c r="I596" s="70" t="str">
        <f t="shared" si="24"/>
        <v>N/A-GSB-N/A</v>
      </c>
      <c r="J596" s="31" t="s">
        <v>1001</v>
      </c>
      <c r="K596" s="31" t="s">
        <v>55</v>
      </c>
      <c r="L596" s="120">
        <v>46221.0</v>
      </c>
      <c r="M596" s="27" t="s">
        <v>60</v>
      </c>
      <c r="N596" s="2">
        <v>3356.0</v>
      </c>
      <c r="O596" s="36" t="s">
        <v>1002</v>
      </c>
      <c r="P596" s="63">
        <v>46232.0</v>
      </c>
      <c r="Q596" s="38"/>
      <c r="R596" s="38"/>
      <c r="S596" s="38"/>
      <c r="T596" s="38"/>
      <c r="U596" s="38"/>
      <c r="V596" s="38"/>
    </row>
    <row r="597">
      <c r="A597" s="75">
        <v>46182.0</v>
      </c>
      <c r="B597" s="27" t="s">
        <v>503</v>
      </c>
      <c r="C597" s="27" t="s">
        <v>504</v>
      </c>
      <c r="D597" s="92" t="s">
        <v>42</v>
      </c>
      <c r="E597" s="27">
        <v>1.0</v>
      </c>
      <c r="F597" s="109" t="s">
        <v>35</v>
      </c>
      <c r="G597" s="27" t="s">
        <v>1043</v>
      </c>
      <c r="H597" s="28">
        <v>10231.0</v>
      </c>
      <c r="I597" s="70" t="str">
        <f t="shared" si="24"/>
        <v>10231-GSB-N/A</v>
      </c>
      <c r="J597" s="31" t="s">
        <v>1001</v>
      </c>
      <c r="K597" s="31" t="s">
        <v>55</v>
      </c>
      <c r="L597" s="120">
        <v>46221.0</v>
      </c>
      <c r="M597" s="27" t="s">
        <v>60</v>
      </c>
      <c r="N597" s="2">
        <v>3356.0</v>
      </c>
      <c r="O597" s="36" t="s">
        <v>1002</v>
      </c>
      <c r="P597" s="63">
        <v>46232.0</v>
      </c>
      <c r="Q597" s="38"/>
      <c r="R597" s="38"/>
      <c r="S597" s="38"/>
      <c r="T597" s="38"/>
      <c r="U597" s="38"/>
      <c r="V597" s="38"/>
    </row>
    <row r="598">
      <c r="A598" s="75">
        <v>46182.0</v>
      </c>
      <c r="B598" s="27" t="s">
        <v>503</v>
      </c>
      <c r="C598" s="27" t="s">
        <v>504</v>
      </c>
      <c r="D598" s="92" t="s">
        <v>42</v>
      </c>
      <c r="E598" s="27">
        <v>1.0</v>
      </c>
      <c r="F598" s="109" t="s">
        <v>35</v>
      </c>
      <c r="G598" s="27" t="s">
        <v>1044</v>
      </c>
      <c r="H598" s="28">
        <v>10234.0</v>
      </c>
      <c r="I598" s="70" t="str">
        <f t="shared" si="24"/>
        <v>10234-GSB-N/A</v>
      </c>
      <c r="J598" s="31" t="s">
        <v>1001</v>
      </c>
      <c r="K598" s="31" t="s">
        <v>55</v>
      </c>
      <c r="L598" s="120">
        <v>46221.0</v>
      </c>
      <c r="M598" s="27" t="s">
        <v>60</v>
      </c>
      <c r="N598" s="2">
        <v>3356.0</v>
      </c>
      <c r="O598" s="36" t="s">
        <v>1002</v>
      </c>
      <c r="P598" s="63">
        <v>46232.0</v>
      </c>
      <c r="Q598" s="38"/>
      <c r="R598" s="38"/>
      <c r="S598" s="38"/>
      <c r="T598" s="38"/>
      <c r="U598" s="38"/>
      <c r="V598" s="38"/>
    </row>
    <row r="599">
      <c r="A599" s="75">
        <v>46182.0</v>
      </c>
      <c r="B599" s="27" t="s">
        <v>503</v>
      </c>
      <c r="C599" s="27" t="s">
        <v>504</v>
      </c>
      <c r="D599" s="92" t="s">
        <v>42</v>
      </c>
      <c r="E599" s="27">
        <v>1.0</v>
      </c>
      <c r="F599" s="109" t="s">
        <v>35</v>
      </c>
      <c r="G599" s="27" t="s">
        <v>1045</v>
      </c>
      <c r="H599" s="28">
        <v>10235.0</v>
      </c>
      <c r="I599" s="70" t="str">
        <f t="shared" si="24"/>
        <v>10235-GSB-N/A</v>
      </c>
      <c r="J599" s="31" t="s">
        <v>1001</v>
      </c>
      <c r="K599" s="31" t="s">
        <v>55</v>
      </c>
      <c r="L599" s="120">
        <v>46221.0</v>
      </c>
      <c r="M599" s="27" t="s">
        <v>60</v>
      </c>
      <c r="N599" s="2">
        <v>3356.0</v>
      </c>
      <c r="O599" s="36" t="s">
        <v>1002</v>
      </c>
      <c r="P599" s="63">
        <v>46232.0</v>
      </c>
      <c r="Q599" s="38"/>
      <c r="R599" s="38"/>
      <c r="S599" s="38"/>
      <c r="T599" s="38"/>
      <c r="U599" s="38"/>
      <c r="V599" s="38"/>
    </row>
    <row r="600">
      <c r="A600" s="23">
        <v>45897.0</v>
      </c>
      <c r="B600" s="25">
        <v>2.093501849E9</v>
      </c>
      <c r="C600" s="25" t="s">
        <v>108</v>
      </c>
      <c r="D600" s="70" t="s">
        <v>43</v>
      </c>
      <c r="E600" s="25">
        <v>1.0</v>
      </c>
      <c r="F600" s="109" t="s">
        <v>35</v>
      </c>
      <c r="G600" s="25">
        <v>2.503380527E9</v>
      </c>
      <c r="H600" s="70">
        <v>7507.0</v>
      </c>
      <c r="I600" s="70" t="str">
        <f t="shared" si="24"/>
        <v>7507-GSB-N/A</v>
      </c>
      <c r="J600" s="31" t="s">
        <v>1001</v>
      </c>
      <c r="K600" s="31" t="s">
        <v>55</v>
      </c>
      <c r="L600" s="120">
        <v>46221.0</v>
      </c>
      <c r="M600" s="27" t="s">
        <v>60</v>
      </c>
      <c r="N600" s="2">
        <v>3355.0</v>
      </c>
      <c r="O600" s="36" t="s">
        <v>1002</v>
      </c>
      <c r="P600" s="63">
        <v>46232.0</v>
      </c>
      <c r="Q600" s="38"/>
      <c r="R600" s="38"/>
      <c r="S600" s="38"/>
      <c r="T600" s="38"/>
      <c r="U600" s="38"/>
      <c r="V600" s="38"/>
    </row>
    <row r="601">
      <c r="A601" s="23">
        <v>45897.0</v>
      </c>
      <c r="B601" s="25">
        <v>2.093501849E9</v>
      </c>
      <c r="C601" s="25" t="s">
        <v>108</v>
      </c>
      <c r="D601" s="70" t="s">
        <v>43</v>
      </c>
      <c r="E601" s="25">
        <v>1.0</v>
      </c>
      <c r="F601" s="109" t="s">
        <v>35</v>
      </c>
      <c r="G601" s="25">
        <v>2.503380859E9</v>
      </c>
      <c r="H601" s="70">
        <v>7464.0</v>
      </c>
      <c r="I601" s="70" t="str">
        <f t="shared" si="24"/>
        <v>7464-GSB-N/A</v>
      </c>
      <c r="J601" s="31" t="s">
        <v>1001</v>
      </c>
      <c r="K601" s="31" t="s">
        <v>55</v>
      </c>
      <c r="L601" s="120">
        <v>46221.0</v>
      </c>
      <c r="M601" s="27" t="s">
        <v>60</v>
      </c>
      <c r="N601" s="2">
        <v>3355.0</v>
      </c>
      <c r="O601" s="36" t="s">
        <v>1002</v>
      </c>
      <c r="P601" s="63">
        <v>46232.0</v>
      </c>
      <c r="Q601" s="38"/>
      <c r="R601" s="38"/>
      <c r="S601" s="38"/>
      <c r="T601" s="38"/>
      <c r="U601" s="38"/>
      <c r="V601" s="38"/>
    </row>
    <row r="602">
      <c r="A602" s="23">
        <v>45897.0</v>
      </c>
      <c r="B602" s="123">
        <v>46195.64272945602</v>
      </c>
      <c r="C602" s="25" t="s">
        <v>108</v>
      </c>
      <c r="D602" s="70" t="s">
        <v>43</v>
      </c>
      <c r="E602" s="25">
        <v>1.0</v>
      </c>
      <c r="F602" s="109" t="s">
        <v>35</v>
      </c>
      <c r="G602" s="25">
        <v>2.503380897E9</v>
      </c>
      <c r="H602" s="70">
        <v>7466.0</v>
      </c>
      <c r="I602" s="70" t="str">
        <f t="shared" si="24"/>
        <v>7466-GSB-N/A</v>
      </c>
      <c r="J602" s="31" t="s">
        <v>1001</v>
      </c>
      <c r="K602" s="31" t="s">
        <v>55</v>
      </c>
      <c r="L602" s="120">
        <v>46221.0</v>
      </c>
      <c r="M602" s="27" t="s">
        <v>60</v>
      </c>
      <c r="N602" s="2">
        <v>3355.0</v>
      </c>
      <c r="O602" s="36" t="s">
        <v>1002</v>
      </c>
      <c r="P602" s="63">
        <v>46232.0</v>
      </c>
      <c r="Q602" s="38"/>
      <c r="R602" s="38"/>
      <c r="S602" s="38"/>
      <c r="T602" s="38"/>
      <c r="U602" s="38"/>
      <c r="V602" s="38"/>
    </row>
    <row r="603">
      <c r="A603" s="23">
        <v>45897.0</v>
      </c>
      <c r="B603" s="25">
        <v>2.093501849E9</v>
      </c>
      <c r="C603" s="25" t="s">
        <v>108</v>
      </c>
      <c r="D603" s="70" t="s">
        <v>43</v>
      </c>
      <c r="E603" s="25">
        <v>1.0</v>
      </c>
      <c r="F603" s="109" t="s">
        <v>35</v>
      </c>
      <c r="G603" s="25">
        <v>2.503380639E9</v>
      </c>
      <c r="H603" s="70">
        <v>7495.0</v>
      </c>
      <c r="I603" s="70" t="str">
        <f t="shared" si="24"/>
        <v>7495-GSB-N/A</v>
      </c>
      <c r="J603" s="31" t="s">
        <v>1001</v>
      </c>
      <c r="K603" s="31" t="s">
        <v>55</v>
      </c>
      <c r="L603" s="120">
        <v>46221.0</v>
      </c>
      <c r="M603" s="27" t="s">
        <v>60</v>
      </c>
      <c r="N603" s="2">
        <v>3355.0</v>
      </c>
      <c r="O603" s="36" t="s">
        <v>1002</v>
      </c>
      <c r="P603" s="63">
        <v>46232.0</v>
      </c>
      <c r="Q603" s="38"/>
      <c r="R603" s="38"/>
      <c r="S603" s="38"/>
      <c r="T603" s="38"/>
      <c r="U603" s="38"/>
      <c r="V603" s="38"/>
    </row>
    <row r="604">
      <c r="A604" s="23">
        <v>45897.0</v>
      </c>
      <c r="B604" s="25">
        <v>2.093501849E9</v>
      </c>
      <c r="C604" s="25" t="s">
        <v>108</v>
      </c>
      <c r="D604" s="70" t="s">
        <v>43</v>
      </c>
      <c r="E604" s="25">
        <v>1.0</v>
      </c>
      <c r="F604" s="109" t="s">
        <v>35</v>
      </c>
      <c r="G604" s="25">
        <v>2.503380689E9</v>
      </c>
      <c r="H604" s="70">
        <v>7492.0</v>
      </c>
      <c r="I604" s="70" t="str">
        <f t="shared" si="24"/>
        <v>7492-GSB-N/A</v>
      </c>
      <c r="J604" s="31" t="s">
        <v>1001</v>
      </c>
      <c r="K604" s="31" t="s">
        <v>55</v>
      </c>
      <c r="L604" s="120">
        <v>46221.0</v>
      </c>
      <c r="M604" s="27" t="s">
        <v>60</v>
      </c>
      <c r="N604" s="2">
        <v>3361.0</v>
      </c>
      <c r="O604" s="36" t="s">
        <v>653</v>
      </c>
      <c r="P604" s="63">
        <v>46234.0</v>
      </c>
      <c r="Q604" s="38"/>
      <c r="R604" s="38"/>
      <c r="S604" s="38"/>
      <c r="T604" s="38"/>
      <c r="U604" s="38"/>
      <c r="V604" s="38"/>
    </row>
    <row r="605">
      <c r="A605" s="23">
        <v>45897.0</v>
      </c>
      <c r="B605" s="25">
        <v>2.093501849E9</v>
      </c>
      <c r="C605" s="27" t="s">
        <v>202</v>
      </c>
      <c r="D605" s="28" t="s">
        <v>45</v>
      </c>
      <c r="E605" s="27">
        <v>1.0</v>
      </c>
      <c r="F605" s="109" t="s">
        <v>35</v>
      </c>
      <c r="G605" s="27" t="s">
        <v>1046</v>
      </c>
      <c r="H605" s="28">
        <v>5924.0</v>
      </c>
      <c r="I605" s="70" t="str">
        <f t="shared" si="24"/>
        <v>5924-GSB-N/A</v>
      </c>
      <c r="J605" s="31" t="s">
        <v>1001</v>
      </c>
      <c r="K605" s="31" t="s">
        <v>55</v>
      </c>
      <c r="L605" s="120">
        <v>46221.0</v>
      </c>
      <c r="M605" s="27" t="s">
        <v>60</v>
      </c>
      <c r="N605" s="2">
        <v>3355.0</v>
      </c>
      <c r="O605" s="36" t="s">
        <v>1002</v>
      </c>
      <c r="P605" s="63">
        <v>46232.0</v>
      </c>
      <c r="Q605" s="38"/>
      <c r="R605" s="38"/>
      <c r="S605" s="38"/>
      <c r="T605" s="38"/>
      <c r="U605" s="38"/>
      <c r="V605" s="38"/>
    </row>
    <row r="606">
      <c r="A606" s="75">
        <v>46209.0</v>
      </c>
      <c r="B606" s="27" t="s">
        <v>438</v>
      </c>
      <c r="C606" s="27" t="s">
        <v>35</v>
      </c>
      <c r="D606" s="28" t="s">
        <v>47</v>
      </c>
      <c r="E606" s="27">
        <v>1.0</v>
      </c>
      <c r="F606" s="109" t="s">
        <v>35</v>
      </c>
      <c r="G606" s="27" t="s">
        <v>35</v>
      </c>
      <c r="H606" s="28">
        <v>10420.0</v>
      </c>
      <c r="I606" s="70" t="str">
        <f t="shared" si="24"/>
        <v>10420-GSB-N/A</v>
      </c>
      <c r="J606" s="31" t="s">
        <v>1001</v>
      </c>
      <c r="K606" s="31" t="s">
        <v>55</v>
      </c>
      <c r="L606" s="120">
        <v>46221.0</v>
      </c>
      <c r="M606" s="27" t="s">
        <v>60</v>
      </c>
      <c r="N606" s="2">
        <v>3355.0</v>
      </c>
      <c r="O606" s="36" t="s">
        <v>1002</v>
      </c>
      <c r="P606" s="63">
        <v>46232.0</v>
      </c>
      <c r="Q606" s="38"/>
      <c r="R606" s="38"/>
      <c r="S606" s="38"/>
      <c r="T606" s="38"/>
      <c r="U606" s="38"/>
      <c r="V606" s="38"/>
    </row>
    <row r="607">
      <c r="A607" s="75">
        <v>46209.0</v>
      </c>
      <c r="B607" s="27" t="s">
        <v>438</v>
      </c>
      <c r="C607" s="27" t="s">
        <v>35</v>
      </c>
      <c r="D607" s="28" t="s">
        <v>47</v>
      </c>
      <c r="E607" s="27">
        <v>1.0</v>
      </c>
      <c r="F607" s="109" t="s">
        <v>35</v>
      </c>
      <c r="G607" s="27" t="s">
        <v>35</v>
      </c>
      <c r="H607" s="28">
        <v>10422.0</v>
      </c>
      <c r="I607" s="70" t="str">
        <f t="shared" si="24"/>
        <v>10422-GSB-N/A</v>
      </c>
      <c r="J607" s="31" t="s">
        <v>1001</v>
      </c>
      <c r="K607" s="31" t="s">
        <v>55</v>
      </c>
      <c r="L607" s="120">
        <v>46221.0</v>
      </c>
      <c r="M607" s="27" t="s">
        <v>60</v>
      </c>
      <c r="N607" s="2">
        <v>3355.0</v>
      </c>
      <c r="O607" s="36" t="s">
        <v>1002</v>
      </c>
      <c r="P607" s="63">
        <v>46232.0</v>
      </c>
      <c r="Q607" s="38"/>
      <c r="R607" s="38"/>
      <c r="S607" s="38"/>
      <c r="T607" s="38"/>
      <c r="U607" s="38"/>
      <c r="V607" s="38"/>
    </row>
    <row r="608">
      <c r="A608" s="75">
        <v>46182.0</v>
      </c>
      <c r="B608" s="27" t="s">
        <v>503</v>
      </c>
      <c r="C608" s="27" t="s">
        <v>581</v>
      </c>
      <c r="D608" s="28" t="s">
        <v>50</v>
      </c>
      <c r="E608" s="27">
        <v>1.0</v>
      </c>
      <c r="F608" s="109" t="s">
        <v>35</v>
      </c>
      <c r="G608" s="27" t="s">
        <v>1047</v>
      </c>
      <c r="H608" s="28">
        <v>10207.0</v>
      </c>
      <c r="I608" s="70" t="str">
        <f t="shared" si="24"/>
        <v>10207-GSB-N/A</v>
      </c>
      <c r="J608" s="31" t="s">
        <v>1001</v>
      </c>
      <c r="K608" s="31" t="s">
        <v>55</v>
      </c>
      <c r="L608" s="120">
        <v>46221.0</v>
      </c>
      <c r="M608" s="27" t="s">
        <v>60</v>
      </c>
      <c r="N608" s="2">
        <v>3355.0</v>
      </c>
      <c r="O608" s="36" t="s">
        <v>1002</v>
      </c>
      <c r="P608" s="63">
        <v>46232.0</v>
      </c>
      <c r="Q608" s="38"/>
      <c r="R608" s="38"/>
      <c r="S608" s="38"/>
      <c r="T608" s="38"/>
      <c r="U608" s="38"/>
      <c r="V608" s="38"/>
    </row>
    <row r="609">
      <c r="A609" s="75">
        <v>46182.0</v>
      </c>
      <c r="B609" s="27" t="s">
        <v>503</v>
      </c>
      <c r="C609" s="27" t="s">
        <v>581</v>
      </c>
      <c r="D609" s="28" t="s">
        <v>50</v>
      </c>
      <c r="E609" s="27">
        <v>1.0</v>
      </c>
      <c r="F609" s="109" t="s">
        <v>35</v>
      </c>
      <c r="G609" s="27" t="s">
        <v>1048</v>
      </c>
      <c r="H609" s="28">
        <v>10209.0</v>
      </c>
      <c r="I609" s="70" t="str">
        <f t="shared" si="24"/>
        <v>10209-GSB-N/A</v>
      </c>
      <c r="J609" s="31" t="s">
        <v>1001</v>
      </c>
      <c r="K609" s="31" t="s">
        <v>55</v>
      </c>
      <c r="L609" s="120">
        <v>46221.0</v>
      </c>
      <c r="M609" s="27" t="s">
        <v>60</v>
      </c>
      <c r="N609" s="2">
        <v>3355.0</v>
      </c>
      <c r="O609" s="36" t="s">
        <v>1002</v>
      </c>
      <c r="P609" s="63">
        <v>46232.0</v>
      </c>
      <c r="Q609" s="38"/>
      <c r="R609" s="38"/>
      <c r="S609" s="38"/>
      <c r="T609" s="38"/>
      <c r="U609" s="38"/>
      <c r="V609" s="38"/>
    </row>
    <row r="610">
      <c r="A610" s="75">
        <v>46182.0</v>
      </c>
      <c r="B610" s="27" t="s">
        <v>503</v>
      </c>
      <c r="C610" s="27" t="s">
        <v>581</v>
      </c>
      <c r="D610" s="28" t="s">
        <v>50</v>
      </c>
      <c r="E610" s="27">
        <v>1.0</v>
      </c>
      <c r="F610" s="109" t="s">
        <v>35</v>
      </c>
      <c r="G610" s="27" t="s">
        <v>1049</v>
      </c>
      <c r="H610" s="28">
        <v>10210.0</v>
      </c>
      <c r="I610" s="70" t="str">
        <f t="shared" si="24"/>
        <v>10210-GSB-N/A</v>
      </c>
      <c r="J610" s="31" t="s">
        <v>1001</v>
      </c>
      <c r="K610" s="31" t="s">
        <v>55</v>
      </c>
      <c r="L610" s="120">
        <v>46221.0</v>
      </c>
      <c r="M610" s="27" t="s">
        <v>60</v>
      </c>
      <c r="N610" s="2">
        <v>3355.0</v>
      </c>
      <c r="O610" s="36" t="s">
        <v>1002</v>
      </c>
      <c r="P610" s="63">
        <v>46232.0</v>
      </c>
      <c r="Q610" s="38"/>
      <c r="R610" s="38"/>
      <c r="S610" s="38"/>
      <c r="T610" s="38"/>
      <c r="U610" s="38"/>
      <c r="V610" s="38"/>
    </row>
    <row r="611">
      <c r="A611" s="75">
        <v>46182.0</v>
      </c>
      <c r="B611" s="27" t="s">
        <v>503</v>
      </c>
      <c r="C611" s="27" t="s">
        <v>581</v>
      </c>
      <c r="D611" s="28" t="s">
        <v>50</v>
      </c>
      <c r="E611" s="27">
        <v>1.0</v>
      </c>
      <c r="F611" s="109" t="s">
        <v>35</v>
      </c>
      <c r="G611" s="27" t="s">
        <v>1050</v>
      </c>
      <c r="H611" s="28">
        <v>10218.0</v>
      </c>
      <c r="I611" s="70" t="str">
        <f t="shared" si="24"/>
        <v>10218-GSB-N/A</v>
      </c>
      <c r="J611" s="31" t="s">
        <v>1001</v>
      </c>
      <c r="K611" s="31" t="s">
        <v>55</v>
      </c>
      <c r="L611" s="120">
        <v>46221.0</v>
      </c>
      <c r="M611" s="27" t="s">
        <v>60</v>
      </c>
      <c r="N611" s="2">
        <v>3355.0</v>
      </c>
      <c r="O611" s="36" t="s">
        <v>1002</v>
      </c>
      <c r="P611" s="63">
        <v>46232.0</v>
      </c>
      <c r="Q611" s="38"/>
      <c r="R611" s="38"/>
      <c r="S611" s="38"/>
      <c r="T611" s="38"/>
      <c r="U611" s="38"/>
      <c r="V611" s="38"/>
    </row>
    <row r="612">
      <c r="A612" s="75">
        <v>46182.0</v>
      </c>
      <c r="B612" s="27" t="s">
        <v>503</v>
      </c>
      <c r="C612" s="27" t="s">
        <v>581</v>
      </c>
      <c r="D612" s="28" t="s">
        <v>50</v>
      </c>
      <c r="E612" s="27">
        <v>1.0</v>
      </c>
      <c r="F612" s="109" t="s">
        <v>35</v>
      </c>
      <c r="G612" s="27" t="s">
        <v>1051</v>
      </c>
      <c r="H612" s="28">
        <v>10219.0</v>
      </c>
      <c r="I612" s="70" t="str">
        <f t="shared" si="24"/>
        <v>10219-GSB-N/A</v>
      </c>
      <c r="J612" s="31" t="s">
        <v>1001</v>
      </c>
      <c r="K612" s="31" t="s">
        <v>55</v>
      </c>
      <c r="L612" s="120">
        <v>46221.0</v>
      </c>
      <c r="M612" s="27" t="s">
        <v>60</v>
      </c>
      <c r="N612" s="2">
        <v>3355.0</v>
      </c>
      <c r="O612" s="36" t="s">
        <v>1002</v>
      </c>
      <c r="P612" s="63">
        <v>46232.0</v>
      </c>
      <c r="Q612" s="38"/>
      <c r="R612" s="38"/>
      <c r="S612" s="38"/>
      <c r="T612" s="38"/>
      <c r="U612" s="38"/>
      <c r="V612" s="38"/>
    </row>
    <row r="613">
      <c r="A613" s="75">
        <v>46182.0</v>
      </c>
      <c r="B613" s="27" t="s">
        <v>503</v>
      </c>
      <c r="C613" s="27" t="s">
        <v>581</v>
      </c>
      <c r="D613" s="28" t="s">
        <v>50</v>
      </c>
      <c r="E613" s="27">
        <v>1.0</v>
      </c>
      <c r="F613" s="109" t="s">
        <v>35</v>
      </c>
      <c r="G613" s="27" t="s">
        <v>1052</v>
      </c>
      <c r="H613" s="28">
        <v>10221.0</v>
      </c>
      <c r="I613" s="70" t="str">
        <f t="shared" si="24"/>
        <v>10221-GSB-N/A</v>
      </c>
      <c r="J613" s="31" t="s">
        <v>1001</v>
      </c>
      <c r="K613" s="31" t="s">
        <v>55</v>
      </c>
      <c r="L613" s="120">
        <v>46221.0</v>
      </c>
      <c r="M613" s="27" t="s">
        <v>60</v>
      </c>
      <c r="N613" s="2">
        <v>3355.0</v>
      </c>
      <c r="O613" s="36" t="s">
        <v>1002</v>
      </c>
      <c r="P613" s="63">
        <v>46232.0</v>
      </c>
      <c r="Q613" s="38"/>
      <c r="R613" s="38"/>
      <c r="S613" s="38"/>
      <c r="T613" s="38"/>
      <c r="U613" s="38"/>
      <c r="V613" s="38"/>
    </row>
    <row r="614">
      <c r="A614" s="75">
        <v>46182.0</v>
      </c>
      <c r="B614" s="27" t="s">
        <v>503</v>
      </c>
      <c r="C614" s="27" t="s">
        <v>581</v>
      </c>
      <c r="D614" s="28" t="s">
        <v>50</v>
      </c>
      <c r="E614" s="27">
        <v>1.0</v>
      </c>
      <c r="F614" s="109" t="s">
        <v>35</v>
      </c>
      <c r="G614" s="27" t="s">
        <v>1053</v>
      </c>
      <c r="H614" s="28">
        <v>10222.0</v>
      </c>
      <c r="I614" s="70" t="str">
        <f t="shared" si="24"/>
        <v>10222-GSB-N/A</v>
      </c>
      <c r="J614" s="31" t="s">
        <v>1001</v>
      </c>
      <c r="K614" s="31" t="s">
        <v>55</v>
      </c>
      <c r="L614" s="120">
        <v>46221.0</v>
      </c>
      <c r="M614" s="27" t="s">
        <v>60</v>
      </c>
      <c r="N614" s="2">
        <v>3355.0</v>
      </c>
      <c r="O614" s="36" t="s">
        <v>1002</v>
      </c>
      <c r="P614" s="63">
        <v>46232.0</v>
      </c>
      <c r="Q614" s="38"/>
      <c r="R614" s="38"/>
      <c r="S614" s="38"/>
      <c r="T614" s="38"/>
      <c r="U614" s="38"/>
      <c r="V614" s="38"/>
    </row>
    <row r="615">
      <c r="A615" s="75">
        <v>46182.0</v>
      </c>
      <c r="B615" s="27" t="s">
        <v>503</v>
      </c>
      <c r="C615" s="27" t="s">
        <v>581</v>
      </c>
      <c r="D615" s="28" t="s">
        <v>50</v>
      </c>
      <c r="E615" s="27">
        <v>1.0</v>
      </c>
      <c r="F615" s="109" t="s">
        <v>35</v>
      </c>
      <c r="G615" s="27" t="s">
        <v>1054</v>
      </c>
      <c r="H615" s="28">
        <v>10225.0</v>
      </c>
      <c r="I615" s="70" t="str">
        <f t="shared" si="24"/>
        <v>10225-GSB-N/A</v>
      </c>
      <c r="J615" s="31" t="s">
        <v>1001</v>
      </c>
      <c r="K615" s="31" t="s">
        <v>55</v>
      </c>
      <c r="L615" s="120">
        <v>46221.0</v>
      </c>
      <c r="M615" s="27" t="s">
        <v>60</v>
      </c>
      <c r="N615" s="2">
        <v>3355.0</v>
      </c>
      <c r="O615" s="36" t="s">
        <v>1002</v>
      </c>
      <c r="P615" s="63">
        <v>46232.0</v>
      </c>
      <c r="Q615" s="38"/>
      <c r="R615" s="38"/>
      <c r="S615" s="38"/>
      <c r="T615" s="38"/>
      <c r="U615" s="38"/>
      <c r="V615" s="38"/>
    </row>
    <row r="616">
      <c r="A616" s="75">
        <v>46182.0</v>
      </c>
      <c r="B616" s="27" t="s">
        <v>503</v>
      </c>
      <c r="C616" s="27" t="s">
        <v>581</v>
      </c>
      <c r="D616" s="28" t="s">
        <v>50</v>
      </c>
      <c r="E616" s="27">
        <v>1.0</v>
      </c>
      <c r="F616" s="109" t="s">
        <v>35</v>
      </c>
      <c r="G616" s="27" t="s">
        <v>1055</v>
      </c>
      <c r="H616" s="28">
        <v>10226.0</v>
      </c>
      <c r="I616" s="70" t="str">
        <f t="shared" si="24"/>
        <v>10226-GSB-N/A</v>
      </c>
      <c r="J616" s="31" t="s">
        <v>1001</v>
      </c>
      <c r="K616" s="31" t="s">
        <v>55</v>
      </c>
      <c r="L616" s="120">
        <v>46221.0</v>
      </c>
      <c r="M616" s="27" t="s">
        <v>60</v>
      </c>
      <c r="N616" s="2">
        <v>3355.0</v>
      </c>
      <c r="O616" s="36" t="s">
        <v>1002</v>
      </c>
      <c r="P616" s="63">
        <v>46232.0</v>
      </c>
      <c r="Q616" s="38"/>
      <c r="R616" s="38"/>
      <c r="S616" s="38"/>
      <c r="T616" s="38"/>
      <c r="U616" s="38"/>
      <c r="V616" s="38"/>
    </row>
    <row r="617">
      <c r="A617" s="75">
        <v>46184.0</v>
      </c>
      <c r="B617" s="27" t="s">
        <v>621</v>
      </c>
      <c r="C617" s="27" t="s">
        <v>617</v>
      </c>
      <c r="D617" s="28" t="s">
        <v>8</v>
      </c>
      <c r="E617" s="27">
        <v>1.0</v>
      </c>
      <c r="F617" s="27" t="s">
        <v>1056</v>
      </c>
      <c r="G617" s="109" t="s">
        <v>35</v>
      </c>
      <c r="H617" s="28">
        <v>10354.0</v>
      </c>
      <c r="I617" s="70" t="str">
        <f t="shared" si="24"/>
        <v>10354-GSB-SDS/1043462</v>
      </c>
      <c r="J617" s="31" t="s">
        <v>1001</v>
      </c>
      <c r="K617" s="31" t="s">
        <v>55</v>
      </c>
      <c r="L617" s="120">
        <v>46221.0</v>
      </c>
      <c r="M617" s="27" t="s">
        <v>60</v>
      </c>
      <c r="N617" s="2">
        <v>3355.0</v>
      </c>
      <c r="O617" s="36" t="s">
        <v>1002</v>
      </c>
      <c r="P617" s="63">
        <v>46232.0</v>
      </c>
      <c r="Q617" s="38"/>
      <c r="R617" s="38"/>
      <c r="S617" s="38"/>
      <c r="T617" s="38"/>
      <c r="U617" s="38"/>
      <c r="V617" s="38"/>
    </row>
    <row r="618">
      <c r="A618" s="75">
        <v>46184.0</v>
      </c>
      <c r="B618" s="27" t="s">
        <v>621</v>
      </c>
      <c r="C618" s="27" t="s">
        <v>617</v>
      </c>
      <c r="D618" s="28" t="s">
        <v>8</v>
      </c>
      <c r="E618" s="27">
        <v>1.0</v>
      </c>
      <c r="F618" s="27" t="s">
        <v>1057</v>
      </c>
      <c r="G618" s="109" t="s">
        <v>35</v>
      </c>
      <c r="H618" s="28">
        <v>10360.0</v>
      </c>
      <c r="I618" s="70" t="str">
        <f t="shared" si="24"/>
        <v>10360-GSB-SDS/1043470</v>
      </c>
      <c r="J618" s="31" t="s">
        <v>1001</v>
      </c>
      <c r="K618" s="31" t="s">
        <v>55</v>
      </c>
      <c r="L618" s="120">
        <v>46221.0</v>
      </c>
      <c r="M618" s="27" t="s">
        <v>60</v>
      </c>
      <c r="N618" s="2">
        <v>3355.0</v>
      </c>
      <c r="O618" s="36" t="s">
        <v>1002</v>
      </c>
      <c r="P618" s="63">
        <v>46232.0</v>
      </c>
      <c r="Q618" s="38"/>
      <c r="R618" s="38"/>
      <c r="S618" s="38"/>
      <c r="T618" s="38"/>
      <c r="U618" s="38"/>
      <c r="V618" s="38"/>
    </row>
    <row r="619">
      <c r="A619" s="75">
        <v>46184.0</v>
      </c>
      <c r="B619" s="27" t="s">
        <v>621</v>
      </c>
      <c r="C619" s="27" t="s">
        <v>617</v>
      </c>
      <c r="D619" s="28" t="s">
        <v>8</v>
      </c>
      <c r="E619" s="27">
        <v>1.0</v>
      </c>
      <c r="F619" s="27" t="s">
        <v>1058</v>
      </c>
      <c r="G619" s="109" t="s">
        <v>35</v>
      </c>
      <c r="H619" s="28">
        <v>10361.0</v>
      </c>
      <c r="I619" s="70" t="str">
        <f t="shared" si="24"/>
        <v>10361-GSB-SDS/1043458</v>
      </c>
      <c r="J619" s="31" t="s">
        <v>1001</v>
      </c>
      <c r="K619" s="31" t="s">
        <v>55</v>
      </c>
      <c r="L619" s="120">
        <v>46221.0</v>
      </c>
      <c r="M619" s="27" t="s">
        <v>60</v>
      </c>
      <c r="N619" s="2">
        <v>3355.0</v>
      </c>
      <c r="O619" s="36" t="s">
        <v>1002</v>
      </c>
      <c r="P619" s="63">
        <v>46232.0</v>
      </c>
      <c r="Q619" s="38"/>
      <c r="R619" s="38"/>
      <c r="S619" s="38"/>
      <c r="T619" s="38"/>
      <c r="U619" s="38"/>
      <c r="V619" s="38"/>
    </row>
    <row r="620">
      <c r="A620" s="75">
        <v>46184.0</v>
      </c>
      <c r="B620" s="27" t="s">
        <v>621</v>
      </c>
      <c r="C620" s="27" t="s">
        <v>327</v>
      </c>
      <c r="D620" s="28" t="s">
        <v>328</v>
      </c>
      <c r="E620" s="27">
        <v>1.0</v>
      </c>
      <c r="F620" s="27" t="s">
        <v>1059</v>
      </c>
      <c r="G620" s="27" t="s">
        <v>1060</v>
      </c>
      <c r="H620" s="28">
        <v>5835.0</v>
      </c>
      <c r="I620" s="70" t="str">
        <f t="shared" si="24"/>
        <v>5835-GSB-SDS/1037011</v>
      </c>
      <c r="J620" s="31" t="s">
        <v>1001</v>
      </c>
      <c r="K620" s="31" t="s">
        <v>55</v>
      </c>
      <c r="L620" s="120">
        <v>46221.0</v>
      </c>
      <c r="M620" s="27" t="s">
        <v>60</v>
      </c>
      <c r="N620" s="2">
        <v>3355.0</v>
      </c>
      <c r="O620" s="36" t="s">
        <v>1002</v>
      </c>
      <c r="P620" s="63">
        <v>46232.0</v>
      </c>
      <c r="Q620" s="38"/>
      <c r="R620" s="38"/>
      <c r="S620" s="38"/>
      <c r="T620" s="38"/>
      <c r="U620" s="38"/>
      <c r="V620" s="38"/>
    </row>
    <row r="621">
      <c r="A621" s="75">
        <v>46184.0</v>
      </c>
      <c r="B621" s="27" t="s">
        <v>621</v>
      </c>
      <c r="C621" s="27" t="s">
        <v>327</v>
      </c>
      <c r="D621" s="28" t="s">
        <v>328</v>
      </c>
      <c r="E621" s="27">
        <v>1.0</v>
      </c>
      <c r="F621" s="27" t="s">
        <v>1061</v>
      </c>
      <c r="G621" s="27" t="s">
        <v>1062</v>
      </c>
      <c r="H621" s="28">
        <v>4156.0</v>
      </c>
      <c r="I621" s="70" t="str">
        <f t="shared" si="24"/>
        <v>4156-GSB-SDS/1032223</v>
      </c>
      <c r="J621" s="31" t="s">
        <v>1001</v>
      </c>
      <c r="K621" s="31" t="s">
        <v>55</v>
      </c>
      <c r="L621" s="120">
        <v>46221.0</v>
      </c>
      <c r="M621" s="27" t="s">
        <v>60</v>
      </c>
      <c r="N621" s="2">
        <v>3355.0</v>
      </c>
      <c r="O621" s="36" t="s">
        <v>1002</v>
      </c>
      <c r="P621" s="63">
        <v>46232.0</v>
      </c>
      <c r="Q621" s="38"/>
      <c r="R621" s="38"/>
      <c r="S621" s="38"/>
      <c r="T621" s="38"/>
      <c r="U621" s="38"/>
      <c r="V621" s="38"/>
    </row>
    <row r="622">
      <c r="A622" s="75">
        <v>46184.0</v>
      </c>
      <c r="B622" s="27" t="s">
        <v>621</v>
      </c>
      <c r="C622" s="27" t="s">
        <v>327</v>
      </c>
      <c r="D622" s="28" t="s">
        <v>328</v>
      </c>
      <c r="E622" s="27">
        <v>1.0</v>
      </c>
      <c r="F622" s="27" t="s">
        <v>1063</v>
      </c>
      <c r="G622" s="27" t="s">
        <v>1064</v>
      </c>
      <c r="H622" s="28">
        <v>5836.0</v>
      </c>
      <c r="I622" s="70" t="str">
        <f t="shared" si="24"/>
        <v>5836-GSB-SDS/1037030</v>
      </c>
      <c r="J622" s="31" t="s">
        <v>1001</v>
      </c>
      <c r="K622" s="31" t="s">
        <v>55</v>
      </c>
      <c r="L622" s="120">
        <v>46221.0</v>
      </c>
      <c r="M622" s="27" t="s">
        <v>60</v>
      </c>
      <c r="N622" s="2">
        <v>3355.0</v>
      </c>
      <c r="O622" s="36" t="s">
        <v>1002</v>
      </c>
      <c r="P622" s="63">
        <v>46232.0</v>
      </c>
      <c r="Q622" s="38"/>
      <c r="R622" s="38"/>
      <c r="S622" s="38"/>
      <c r="T622" s="38"/>
      <c r="U622" s="38"/>
      <c r="V622" s="38"/>
    </row>
    <row r="623">
      <c r="A623" s="75">
        <v>46184.0</v>
      </c>
      <c r="B623" s="27" t="s">
        <v>621</v>
      </c>
      <c r="C623" s="27" t="s">
        <v>327</v>
      </c>
      <c r="D623" s="28" t="s">
        <v>328</v>
      </c>
      <c r="E623" s="27">
        <v>1.0</v>
      </c>
      <c r="F623" s="27" t="s">
        <v>1065</v>
      </c>
      <c r="G623" s="27" t="s">
        <v>1066</v>
      </c>
      <c r="H623" s="28">
        <v>4195.0</v>
      </c>
      <c r="I623" s="70" t="str">
        <f t="shared" si="24"/>
        <v>4195-GSB-SDS/1032231</v>
      </c>
      <c r="J623" s="31" t="s">
        <v>1001</v>
      </c>
      <c r="K623" s="31" t="s">
        <v>55</v>
      </c>
      <c r="L623" s="120">
        <v>46221.0</v>
      </c>
      <c r="M623" s="27" t="s">
        <v>60</v>
      </c>
      <c r="N623" s="2">
        <v>3355.0</v>
      </c>
      <c r="O623" s="36" t="s">
        <v>1002</v>
      </c>
      <c r="P623" s="63">
        <v>46232.0</v>
      </c>
      <c r="Q623" s="38"/>
      <c r="R623" s="38"/>
      <c r="S623" s="38"/>
      <c r="T623" s="38"/>
      <c r="U623" s="38"/>
      <c r="V623" s="38"/>
    </row>
    <row r="624">
      <c r="A624" s="75">
        <v>46184.0</v>
      </c>
      <c r="B624" s="27" t="s">
        <v>621</v>
      </c>
      <c r="C624" s="27" t="s">
        <v>327</v>
      </c>
      <c r="D624" s="28" t="s">
        <v>328</v>
      </c>
      <c r="E624" s="27">
        <v>1.0</v>
      </c>
      <c r="F624" s="27" t="s">
        <v>1067</v>
      </c>
      <c r="G624" s="27" t="s">
        <v>1068</v>
      </c>
      <c r="H624" s="28">
        <v>5462.0</v>
      </c>
      <c r="I624" s="70" t="str">
        <f t="shared" si="24"/>
        <v>5462-GSB-SDS/1033051</v>
      </c>
      <c r="J624" s="31" t="s">
        <v>1001</v>
      </c>
      <c r="K624" s="31" t="s">
        <v>55</v>
      </c>
      <c r="L624" s="120">
        <v>46221.0</v>
      </c>
      <c r="M624" s="27" t="s">
        <v>60</v>
      </c>
      <c r="N624" s="2">
        <v>3355.0</v>
      </c>
      <c r="O624" s="36" t="s">
        <v>1002</v>
      </c>
      <c r="P624" s="63">
        <v>46232.0</v>
      </c>
      <c r="Q624" s="38"/>
      <c r="R624" s="38"/>
      <c r="S624" s="38"/>
      <c r="T624" s="38"/>
      <c r="U624" s="38"/>
      <c r="V624" s="38"/>
    </row>
    <row r="625">
      <c r="A625" s="75">
        <v>46184.0</v>
      </c>
      <c r="B625" s="27" t="s">
        <v>621</v>
      </c>
      <c r="C625" s="27" t="s">
        <v>327</v>
      </c>
      <c r="D625" s="28" t="s">
        <v>328</v>
      </c>
      <c r="E625" s="27">
        <v>1.0</v>
      </c>
      <c r="F625" s="27" t="s">
        <v>1069</v>
      </c>
      <c r="G625" s="27" t="s">
        <v>1070</v>
      </c>
      <c r="H625" s="28">
        <v>5845.0</v>
      </c>
      <c r="I625" s="70" t="str">
        <f t="shared" si="24"/>
        <v>5845-GSB-SDS/1037029</v>
      </c>
      <c r="J625" s="31" t="s">
        <v>1001</v>
      </c>
      <c r="K625" s="31" t="s">
        <v>55</v>
      </c>
      <c r="L625" s="120">
        <v>46221.0</v>
      </c>
      <c r="M625" s="27" t="s">
        <v>60</v>
      </c>
      <c r="N625" s="2">
        <v>3355.0</v>
      </c>
      <c r="O625" s="36" t="s">
        <v>1002</v>
      </c>
      <c r="P625" s="63">
        <v>46232.0</v>
      </c>
      <c r="Q625" s="38"/>
      <c r="R625" s="38"/>
      <c r="S625" s="38"/>
      <c r="T625" s="38"/>
      <c r="U625" s="38"/>
      <c r="V625" s="38"/>
    </row>
    <row r="626">
      <c r="A626" s="75">
        <v>46184.0</v>
      </c>
      <c r="B626" s="27" t="s">
        <v>621</v>
      </c>
      <c r="C626" s="27" t="s">
        <v>327</v>
      </c>
      <c r="D626" s="28" t="s">
        <v>328</v>
      </c>
      <c r="E626" s="27">
        <v>1.0</v>
      </c>
      <c r="F626" s="27" t="s">
        <v>1071</v>
      </c>
      <c r="G626" s="27" t="s">
        <v>1072</v>
      </c>
      <c r="H626" s="28">
        <v>4217.0</v>
      </c>
      <c r="I626" s="70" t="str">
        <f t="shared" si="24"/>
        <v>4217-GSB-SDS/1032228</v>
      </c>
      <c r="J626" s="31" t="s">
        <v>1001</v>
      </c>
      <c r="K626" s="31" t="s">
        <v>55</v>
      </c>
      <c r="L626" s="120">
        <v>46221.0</v>
      </c>
      <c r="M626" s="27" t="s">
        <v>60</v>
      </c>
      <c r="N626" s="2">
        <v>3355.0</v>
      </c>
      <c r="O626" s="36" t="s">
        <v>1002</v>
      </c>
      <c r="P626" s="63">
        <v>46232.0</v>
      </c>
      <c r="Q626" s="38"/>
      <c r="R626" s="38"/>
      <c r="S626" s="38"/>
      <c r="T626" s="38"/>
      <c r="U626" s="38"/>
      <c r="V626" s="38"/>
    </row>
    <row r="627">
      <c r="A627" s="75">
        <v>46184.0</v>
      </c>
      <c r="B627" s="27" t="s">
        <v>621</v>
      </c>
      <c r="C627" s="27" t="s">
        <v>327</v>
      </c>
      <c r="D627" s="28" t="s">
        <v>328</v>
      </c>
      <c r="E627" s="27">
        <v>1.0</v>
      </c>
      <c r="F627" s="109" t="s">
        <v>35</v>
      </c>
      <c r="G627" s="27" t="s">
        <v>1073</v>
      </c>
      <c r="H627" s="28">
        <v>10378.0</v>
      </c>
      <c r="I627" s="70" t="str">
        <f t="shared" si="24"/>
        <v>10378-GSB-N/A</v>
      </c>
      <c r="J627" s="31" t="s">
        <v>1001</v>
      </c>
      <c r="K627" s="31" t="s">
        <v>55</v>
      </c>
      <c r="L627" s="120">
        <v>46221.0</v>
      </c>
      <c r="M627" s="27" t="s">
        <v>60</v>
      </c>
      <c r="N627" s="2">
        <v>3355.0</v>
      </c>
      <c r="O627" s="36" t="s">
        <v>1002</v>
      </c>
      <c r="P627" s="63">
        <v>46232.0</v>
      </c>
      <c r="Q627" s="38"/>
      <c r="R627" s="38"/>
      <c r="S627" s="38"/>
      <c r="T627" s="38"/>
      <c r="U627" s="38"/>
      <c r="V627" s="38"/>
    </row>
    <row r="628">
      <c r="A628" s="75">
        <v>46184.0</v>
      </c>
      <c r="B628" s="27" t="s">
        <v>621</v>
      </c>
      <c r="C628" s="27" t="s">
        <v>342</v>
      </c>
      <c r="D628" s="28" t="s">
        <v>51</v>
      </c>
      <c r="E628" s="27">
        <v>1.0</v>
      </c>
      <c r="F628" s="109" t="s">
        <v>35</v>
      </c>
      <c r="G628" s="27" t="s">
        <v>1074</v>
      </c>
      <c r="H628" s="28">
        <v>10370.0</v>
      </c>
      <c r="I628" s="70" t="str">
        <f t="shared" si="24"/>
        <v>10370-GSB-N/A</v>
      </c>
      <c r="J628" s="31" t="s">
        <v>1001</v>
      </c>
      <c r="K628" s="31" t="s">
        <v>55</v>
      </c>
      <c r="L628" s="120">
        <v>46221.0</v>
      </c>
      <c r="M628" s="27" t="s">
        <v>60</v>
      </c>
      <c r="N628" s="2">
        <v>3355.0</v>
      </c>
      <c r="O628" s="36" t="s">
        <v>1002</v>
      </c>
      <c r="P628" s="63">
        <v>46232.0</v>
      </c>
      <c r="Q628" s="38"/>
      <c r="R628" s="38"/>
      <c r="S628" s="38"/>
      <c r="T628" s="38"/>
      <c r="U628" s="38"/>
      <c r="V628" s="38"/>
    </row>
    <row r="629">
      <c r="A629" s="75">
        <v>46174.0</v>
      </c>
      <c r="B629" s="27" t="s">
        <v>784</v>
      </c>
      <c r="C629" s="27" t="s">
        <v>362</v>
      </c>
      <c r="D629" s="28" t="s">
        <v>54</v>
      </c>
      <c r="E629" s="27">
        <v>1.0</v>
      </c>
      <c r="F629" s="109" t="s">
        <v>35</v>
      </c>
      <c r="G629" s="27" t="s">
        <v>1075</v>
      </c>
      <c r="H629" s="28">
        <v>5270.0</v>
      </c>
      <c r="I629" s="70" t="str">
        <f t="shared" si="24"/>
        <v>5270-GSB-N/A</v>
      </c>
      <c r="J629" s="25" t="s">
        <v>1001</v>
      </c>
      <c r="K629" s="31" t="s">
        <v>55</v>
      </c>
      <c r="L629" s="104">
        <v>46221.0</v>
      </c>
      <c r="M629" s="27" t="s">
        <v>60</v>
      </c>
      <c r="N629" s="2">
        <v>3353.0</v>
      </c>
      <c r="O629" s="36" t="s">
        <v>1002</v>
      </c>
      <c r="P629" s="63">
        <v>46232.0</v>
      </c>
      <c r="Q629" s="38"/>
      <c r="R629" s="38"/>
      <c r="S629" s="38"/>
      <c r="T629" s="38"/>
      <c r="U629" s="38"/>
      <c r="V629" s="38"/>
    </row>
    <row r="630">
      <c r="A630" s="23">
        <v>45530.60907740741</v>
      </c>
      <c r="B630" s="123">
        <v>46195.63711377315</v>
      </c>
      <c r="C630" s="25" t="s">
        <v>257</v>
      </c>
      <c r="D630" s="70" t="s">
        <v>57</v>
      </c>
      <c r="E630" s="25">
        <v>1.0</v>
      </c>
      <c r="F630" s="109" t="s">
        <v>35</v>
      </c>
      <c r="G630" s="109" t="s">
        <v>35</v>
      </c>
      <c r="H630" s="70">
        <v>8570.0</v>
      </c>
      <c r="I630" s="70" t="str">
        <f t="shared" si="24"/>
        <v>8570-GSB-N/A</v>
      </c>
      <c r="J630" s="31" t="s">
        <v>1001</v>
      </c>
      <c r="K630" s="31" t="s">
        <v>55</v>
      </c>
      <c r="L630" s="120">
        <v>46221.0</v>
      </c>
      <c r="M630" s="27" t="s">
        <v>60</v>
      </c>
      <c r="N630" s="2">
        <v>3361.0</v>
      </c>
      <c r="O630" s="36" t="s">
        <v>653</v>
      </c>
      <c r="P630" s="63">
        <v>46234.0</v>
      </c>
      <c r="Q630" s="38"/>
      <c r="R630" s="38"/>
      <c r="S630" s="38"/>
      <c r="T630" s="38"/>
      <c r="U630" s="38"/>
      <c r="V630" s="38"/>
    </row>
    <row r="631">
      <c r="A631" s="23">
        <v>45530.60907740741</v>
      </c>
      <c r="B631" s="123">
        <v>46195.63730997685</v>
      </c>
      <c r="C631" s="25" t="s">
        <v>257</v>
      </c>
      <c r="D631" s="70" t="s">
        <v>57</v>
      </c>
      <c r="E631" s="25">
        <v>1.0</v>
      </c>
      <c r="F631" s="109" t="s">
        <v>35</v>
      </c>
      <c r="G631" s="109" t="s">
        <v>35</v>
      </c>
      <c r="H631" s="70">
        <v>8562.0</v>
      </c>
      <c r="I631" s="70" t="str">
        <f t="shared" si="24"/>
        <v>8562-GSB-N/A</v>
      </c>
      <c r="J631" s="31" t="s">
        <v>1001</v>
      </c>
      <c r="K631" s="31" t="s">
        <v>55</v>
      </c>
      <c r="L631" s="120">
        <v>46221.0</v>
      </c>
      <c r="M631" s="27" t="s">
        <v>60</v>
      </c>
      <c r="N631" s="2">
        <v>3353.0</v>
      </c>
      <c r="O631" s="36" t="s">
        <v>1002</v>
      </c>
      <c r="P631" s="63">
        <v>46232.0</v>
      </c>
      <c r="Q631" s="38"/>
      <c r="R631" s="38"/>
      <c r="S631" s="38"/>
      <c r="T631" s="38"/>
      <c r="U631" s="38"/>
      <c r="V631" s="38"/>
    </row>
    <row r="632">
      <c r="A632" s="23">
        <v>45530.60907740741</v>
      </c>
      <c r="B632" s="25">
        <v>44430.0</v>
      </c>
      <c r="C632" s="25" t="s">
        <v>257</v>
      </c>
      <c r="D632" s="70" t="s">
        <v>57</v>
      </c>
      <c r="E632" s="25">
        <v>1.0</v>
      </c>
      <c r="F632" s="109" t="s">
        <v>35</v>
      </c>
      <c r="G632" s="109" t="s">
        <v>35</v>
      </c>
      <c r="H632" s="70">
        <v>8567.0</v>
      </c>
      <c r="I632" s="70" t="str">
        <f t="shared" si="24"/>
        <v>8567-GSB-N/A</v>
      </c>
      <c r="J632" s="31" t="s">
        <v>1001</v>
      </c>
      <c r="K632" s="31" t="s">
        <v>55</v>
      </c>
      <c r="L632" s="120">
        <v>46221.0</v>
      </c>
      <c r="M632" s="27" t="s">
        <v>60</v>
      </c>
      <c r="N632" s="2">
        <v>3353.0</v>
      </c>
      <c r="O632" s="36" t="s">
        <v>1002</v>
      </c>
      <c r="P632" s="63">
        <v>46232.0</v>
      </c>
      <c r="Q632" s="38"/>
      <c r="R632" s="38"/>
      <c r="S632" s="38"/>
      <c r="T632" s="38"/>
      <c r="U632" s="38"/>
      <c r="V632" s="38"/>
    </row>
    <row r="633">
      <c r="A633" s="23">
        <v>45530.60907740741</v>
      </c>
      <c r="B633" s="25">
        <v>44430.0</v>
      </c>
      <c r="C633" s="25" t="s">
        <v>257</v>
      </c>
      <c r="D633" s="70" t="s">
        <v>57</v>
      </c>
      <c r="E633" s="25">
        <v>1.0</v>
      </c>
      <c r="F633" s="109" t="s">
        <v>35</v>
      </c>
      <c r="G633" s="109" t="s">
        <v>35</v>
      </c>
      <c r="H633" s="70">
        <v>8559.0</v>
      </c>
      <c r="I633" s="70" t="str">
        <f t="shared" si="24"/>
        <v>8559-GSB-N/A</v>
      </c>
      <c r="J633" s="31" t="s">
        <v>1001</v>
      </c>
      <c r="K633" s="31" t="s">
        <v>55</v>
      </c>
      <c r="L633" s="120">
        <v>46221.0</v>
      </c>
      <c r="M633" s="27" t="s">
        <v>60</v>
      </c>
      <c r="N633" s="2">
        <v>3353.0</v>
      </c>
      <c r="O633" s="36" t="s">
        <v>1002</v>
      </c>
      <c r="P633" s="63">
        <v>46232.0</v>
      </c>
      <c r="Q633" s="38"/>
      <c r="R633" s="38"/>
      <c r="S633" s="38"/>
      <c r="T633" s="38"/>
      <c r="U633" s="38"/>
      <c r="V633" s="38"/>
    </row>
    <row r="634">
      <c r="A634" s="23">
        <v>45530.60907740741</v>
      </c>
      <c r="B634" s="25">
        <v>44430.0</v>
      </c>
      <c r="C634" s="25" t="s">
        <v>257</v>
      </c>
      <c r="D634" s="70" t="s">
        <v>57</v>
      </c>
      <c r="E634" s="25">
        <v>1.0</v>
      </c>
      <c r="F634" s="109" t="s">
        <v>35</v>
      </c>
      <c r="G634" s="109" t="s">
        <v>35</v>
      </c>
      <c r="H634" s="70">
        <v>8503.0</v>
      </c>
      <c r="I634" s="70" t="str">
        <f t="shared" si="24"/>
        <v>8503-GSB-N/A</v>
      </c>
      <c r="J634" s="31" t="s">
        <v>1001</v>
      </c>
      <c r="K634" s="31" t="s">
        <v>55</v>
      </c>
      <c r="L634" s="120">
        <v>46221.0</v>
      </c>
      <c r="M634" s="27" t="s">
        <v>60</v>
      </c>
      <c r="N634" s="2">
        <v>3353.0</v>
      </c>
      <c r="O634" s="36" t="s">
        <v>1002</v>
      </c>
      <c r="P634" s="63">
        <v>46232.0</v>
      </c>
      <c r="Q634" s="38"/>
      <c r="R634" s="38"/>
      <c r="S634" s="38"/>
      <c r="T634" s="38"/>
      <c r="U634" s="38"/>
      <c r="V634" s="38"/>
    </row>
    <row r="635">
      <c r="A635" s="23">
        <v>45897.0</v>
      </c>
      <c r="B635" s="25">
        <v>2.093501849E9</v>
      </c>
      <c r="C635" s="27" t="s">
        <v>352</v>
      </c>
      <c r="D635" s="28" t="s">
        <v>59</v>
      </c>
      <c r="E635" s="27">
        <v>1.0</v>
      </c>
      <c r="F635" s="109" t="s">
        <v>35</v>
      </c>
      <c r="G635" s="27" t="s">
        <v>1076</v>
      </c>
      <c r="H635" s="28">
        <v>4351.0</v>
      </c>
      <c r="I635" s="70" t="str">
        <f t="shared" si="24"/>
        <v>4351-GSB-N/A</v>
      </c>
      <c r="J635" s="31" t="s">
        <v>1001</v>
      </c>
      <c r="K635" s="31" t="s">
        <v>55</v>
      </c>
      <c r="L635" s="120">
        <v>46221.0</v>
      </c>
      <c r="M635" s="27" t="s">
        <v>60</v>
      </c>
      <c r="N635" s="2">
        <v>3353.0</v>
      </c>
      <c r="O635" s="36" t="s">
        <v>1002</v>
      </c>
      <c r="P635" s="63">
        <v>46232.0</v>
      </c>
      <c r="Q635" s="38"/>
      <c r="R635" s="38"/>
      <c r="S635" s="38"/>
      <c r="T635" s="38"/>
      <c r="U635" s="38"/>
      <c r="V635" s="38"/>
    </row>
    <row r="636">
      <c r="A636" s="23">
        <v>45897.0</v>
      </c>
      <c r="B636" s="25">
        <v>2.093501849E9</v>
      </c>
      <c r="C636" s="27" t="s">
        <v>352</v>
      </c>
      <c r="D636" s="28" t="s">
        <v>59</v>
      </c>
      <c r="E636" s="27">
        <v>1.0</v>
      </c>
      <c r="F636" s="109" t="s">
        <v>35</v>
      </c>
      <c r="G636" s="27" t="s">
        <v>1077</v>
      </c>
      <c r="H636" s="28">
        <v>4268.0</v>
      </c>
      <c r="I636" s="70" t="str">
        <f t="shared" si="24"/>
        <v>4268-GSB-N/A</v>
      </c>
      <c r="J636" s="31" t="s">
        <v>1001</v>
      </c>
      <c r="K636" s="31" t="s">
        <v>55</v>
      </c>
      <c r="L636" s="120">
        <v>46221.0</v>
      </c>
      <c r="M636" s="27" t="s">
        <v>60</v>
      </c>
      <c r="N636" s="2">
        <v>3353.0</v>
      </c>
      <c r="O636" s="36" t="s">
        <v>1002</v>
      </c>
      <c r="P636" s="63">
        <v>46232.0</v>
      </c>
      <c r="Q636" s="38"/>
      <c r="R636" s="38"/>
      <c r="S636" s="38"/>
      <c r="T636" s="38"/>
      <c r="U636" s="38"/>
      <c r="V636" s="38"/>
    </row>
    <row r="637">
      <c r="A637" s="75">
        <v>46184.0</v>
      </c>
      <c r="B637" s="27" t="s">
        <v>35</v>
      </c>
      <c r="C637" s="27" t="s">
        <v>35</v>
      </c>
      <c r="D637" s="28" t="s">
        <v>333</v>
      </c>
      <c r="E637" s="27">
        <v>1.0</v>
      </c>
      <c r="F637" s="109" t="s">
        <v>35</v>
      </c>
      <c r="G637" s="27" t="s">
        <v>35</v>
      </c>
      <c r="H637" s="28">
        <v>10248.0</v>
      </c>
      <c r="I637" s="70" t="str">
        <f t="shared" si="24"/>
        <v>10248-GSB-N/A</v>
      </c>
      <c r="J637" s="31" t="s">
        <v>1001</v>
      </c>
      <c r="K637" s="31" t="s">
        <v>55</v>
      </c>
      <c r="L637" s="120">
        <v>46221.0</v>
      </c>
      <c r="M637" s="27" t="s">
        <v>60</v>
      </c>
      <c r="N637" s="2">
        <v>3353.0</v>
      </c>
      <c r="O637" s="36" t="s">
        <v>1002</v>
      </c>
      <c r="P637" s="63">
        <v>46232.0</v>
      </c>
      <c r="Q637" s="38"/>
      <c r="R637" s="38"/>
      <c r="S637" s="38"/>
      <c r="T637" s="38"/>
      <c r="U637" s="38"/>
      <c r="V637" s="38"/>
    </row>
    <row r="638">
      <c r="A638" s="27" t="s">
        <v>654</v>
      </c>
      <c r="B638" s="27" t="s">
        <v>655</v>
      </c>
      <c r="C638" s="27" t="s">
        <v>129</v>
      </c>
      <c r="D638" s="28" t="s">
        <v>61</v>
      </c>
      <c r="E638" s="27">
        <v>1.0</v>
      </c>
      <c r="F638" s="27" t="s">
        <v>1078</v>
      </c>
      <c r="G638" s="109" t="s">
        <v>35</v>
      </c>
      <c r="H638" s="28">
        <v>10298.0</v>
      </c>
      <c r="I638" s="70" t="str">
        <f t="shared" si="24"/>
        <v>10298-GSB-SDS/1043536</v>
      </c>
      <c r="J638" s="31" t="s">
        <v>1001</v>
      </c>
      <c r="K638" s="31" t="s">
        <v>55</v>
      </c>
      <c r="L638" s="120">
        <v>46221.0</v>
      </c>
      <c r="M638" s="27" t="s">
        <v>60</v>
      </c>
      <c r="N638" s="2">
        <v>3353.0</v>
      </c>
      <c r="O638" s="36" t="s">
        <v>1002</v>
      </c>
      <c r="P638" s="63">
        <v>46232.0</v>
      </c>
      <c r="Q638" s="38"/>
      <c r="R638" s="38"/>
      <c r="S638" s="38"/>
      <c r="T638" s="38"/>
      <c r="U638" s="38"/>
      <c r="V638" s="38"/>
    </row>
    <row r="639">
      <c r="A639" s="27" t="s">
        <v>654</v>
      </c>
      <c r="B639" s="27" t="s">
        <v>655</v>
      </c>
      <c r="C639" s="27" t="s">
        <v>129</v>
      </c>
      <c r="D639" s="28" t="s">
        <v>61</v>
      </c>
      <c r="E639" s="27">
        <v>1.0</v>
      </c>
      <c r="F639" s="27" t="s">
        <v>1079</v>
      </c>
      <c r="G639" s="109" t="s">
        <v>35</v>
      </c>
      <c r="H639" s="28">
        <v>10285.0</v>
      </c>
      <c r="I639" s="70" t="str">
        <f t="shared" si="24"/>
        <v>10285-GSB-SDS/1043533</v>
      </c>
      <c r="J639" s="31" t="s">
        <v>1001</v>
      </c>
      <c r="K639" s="31" t="s">
        <v>55</v>
      </c>
      <c r="L639" s="120">
        <v>46221.0</v>
      </c>
      <c r="M639" s="27" t="s">
        <v>60</v>
      </c>
      <c r="N639" s="2">
        <v>3353.0</v>
      </c>
      <c r="O639" s="36" t="s">
        <v>1002</v>
      </c>
      <c r="P639" s="63">
        <v>46232.0</v>
      </c>
      <c r="Q639" s="38"/>
      <c r="R639" s="38"/>
      <c r="S639" s="38"/>
      <c r="T639" s="38"/>
      <c r="U639" s="38"/>
      <c r="V639" s="38"/>
    </row>
    <row r="640">
      <c r="A640" s="27" t="s">
        <v>654</v>
      </c>
      <c r="B640" s="27" t="s">
        <v>655</v>
      </c>
      <c r="C640" s="27" t="s">
        <v>129</v>
      </c>
      <c r="D640" s="28" t="s">
        <v>61</v>
      </c>
      <c r="E640" s="27">
        <v>1.0</v>
      </c>
      <c r="F640" s="27" t="s">
        <v>1080</v>
      </c>
      <c r="G640" s="109" t="s">
        <v>35</v>
      </c>
      <c r="H640" s="28">
        <v>10289.0</v>
      </c>
      <c r="I640" s="70" t="str">
        <f t="shared" si="24"/>
        <v>10289-GSB-SDS/1043542</v>
      </c>
      <c r="J640" s="31" t="s">
        <v>1001</v>
      </c>
      <c r="K640" s="31" t="s">
        <v>55</v>
      </c>
      <c r="L640" s="120">
        <v>46221.0</v>
      </c>
      <c r="M640" s="27" t="s">
        <v>60</v>
      </c>
      <c r="N640" s="2">
        <v>3353.0</v>
      </c>
      <c r="O640" s="36" t="s">
        <v>1002</v>
      </c>
      <c r="P640" s="63">
        <v>46232.0</v>
      </c>
      <c r="Q640" s="38"/>
      <c r="R640" s="38"/>
      <c r="S640" s="38"/>
      <c r="T640" s="38"/>
      <c r="U640" s="38"/>
      <c r="V640" s="38"/>
    </row>
    <row r="641">
      <c r="A641" s="27" t="s">
        <v>654</v>
      </c>
      <c r="B641" s="27" t="s">
        <v>655</v>
      </c>
      <c r="C641" s="27" t="s">
        <v>129</v>
      </c>
      <c r="D641" s="28" t="s">
        <v>61</v>
      </c>
      <c r="E641" s="27">
        <v>1.0</v>
      </c>
      <c r="F641" s="27" t="s">
        <v>1081</v>
      </c>
      <c r="G641" s="109" t="s">
        <v>35</v>
      </c>
      <c r="H641" s="28">
        <v>10275.0</v>
      </c>
      <c r="I641" s="70" t="str">
        <f t="shared" si="24"/>
        <v>10275-GSB-SDS/1043550</v>
      </c>
      <c r="J641" s="31" t="s">
        <v>1001</v>
      </c>
      <c r="K641" s="31" t="s">
        <v>55</v>
      </c>
      <c r="L641" s="120">
        <v>46221.0</v>
      </c>
      <c r="M641" s="27" t="s">
        <v>60</v>
      </c>
      <c r="N641" s="2">
        <v>3353.0</v>
      </c>
      <c r="O641" s="36" t="s">
        <v>1002</v>
      </c>
      <c r="P641" s="63">
        <v>46232.0</v>
      </c>
      <c r="Q641" s="38"/>
      <c r="R641" s="38"/>
      <c r="S641" s="38"/>
      <c r="T641" s="38"/>
      <c r="U641" s="38"/>
      <c r="V641" s="38"/>
    </row>
    <row r="642">
      <c r="A642" s="27" t="s">
        <v>654</v>
      </c>
      <c r="B642" s="27" t="s">
        <v>655</v>
      </c>
      <c r="C642" s="27" t="s">
        <v>129</v>
      </c>
      <c r="D642" s="28" t="s">
        <v>61</v>
      </c>
      <c r="E642" s="27">
        <v>1.0</v>
      </c>
      <c r="F642" s="27" t="s">
        <v>1082</v>
      </c>
      <c r="G642" s="109" t="s">
        <v>35</v>
      </c>
      <c r="H642" s="28">
        <v>10279.0</v>
      </c>
      <c r="I642" s="70" t="str">
        <f t="shared" si="24"/>
        <v>10279-GSB-SDS/1043544</v>
      </c>
      <c r="J642" s="31" t="s">
        <v>1001</v>
      </c>
      <c r="K642" s="31" t="s">
        <v>55</v>
      </c>
      <c r="L642" s="120">
        <v>46221.0</v>
      </c>
      <c r="M642" s="27" t="s">
        <v>60</v>
      </c>
      <c r="N642" s="2">
        <v>3353.0</v>
      </c>
      <c r="O642" s="36" t="s">
        <v>1002</v>
      </c>
      <c r="P642" s="63">
        <v>46230.0</v>
      </c>
      <c r="Q642" s="38"/>
      <c r="R642" s="38"/>
      <c r="S642" s="38"/>
      <c r="T642" s="38"/>
      <c r="U642" s="38"/>
      <c r="V642" s="38"/>
    </row>
    <row r="643">
      <c r="A643" s="27" t="s">
        <v>654</v>
      </c>
      <c r="B643" s="27" t="s">
        <v>655</v>
      </c>
      <c r="C643" s="27" t="s">
        <v>129</v>
      </c>
      <c r="D643" s="28" t="s">
        <v>61</v>
      </c>
      <c r="E643" s="27">
        <v>1.0</v>
      </c>
      <c r="F643" s="27" t="s">
        <v>1083</v>
      </c>
      <c r="G643" s="109" t="s">
        <v>35</v>
      </c>
      <c r="H643" s="28">
        <v>10274.0</v>
      </c>
      <c r="I643" s="70" t="str">
        <f t="shared" si="24"/>
        <v>10274-GSB-SDS/1043540</v>
      </c>
      <c r="J643" s="31" t="s">
        <v>1001</v>
      </c>
      <c r="K643" s="31" t="s">
        <v>55</v>
      </c>
      <c r="L643" s="120">
        <v>46221.0</v>
      </c>
      <c r="M643" s="27" t="s">
        <v>60</v>
      </c>
      <c r="N643" s="2">
        <v>3353.0</v>
      </c>
      <c r="O643" s="36" t="s">
        <v>1002</v>
      </c>
      <c r="P643" s="63">
        <v>46232.0</v>
      </c>
      <c r="Q643" s="38"/>
      <c r="R643" s="38"/>
      <c r="S643" s="38"/>
      <c r="T643" s="38"/>
      <c r="U643" s="38"/>
      <c r="V643" s="38"/>
    </row>
    <row r="644">
      <c r="A644" s="27" t="s">
        <v>654</v>
      </c>
      <c r="B644" s="27" t="s">
        <v>655</v>
      </c>
      <c r="C644" s="27" t="s">
        <v>129</v>
      </c>
      <c r="D644" s="28" t="s">
        <v>61</v>
      </c>
      <c r="E644" s="27">
        <v>1.0</v>
      </c>
      <c r="F644" s="27" t="s">
        <v>1084</v>
      </c>
      <c r="G644" s="109" t="s">
        <v>35</v>
      </c>
      <c r="H644" s="28">
        <v>10288.0</v>
      </c>
      <c r="I644" s="70" t="str">
        <f t="shared" si="24"/>
        <v>10288-GSB-SDS/1043548</v>
      </c>
      <c r="J644" s="31" t="s">
        <v>1001</v>
      </c>
      <c r="K644" s="31" t="s">
        <v>55</v>
      </c>
      <c r="L644" s="120">
        <v>46221.0</v>
      </c>
      <c r="M644" s="27" t="s">
        <v>60</v>
      </c>
      <c r="N644" s="2">
        <v>3353.0</v>
      </c>
      <c r="O644" s="36" t="s">
        <v>1002</v>
      </c>
      <c r="P644" s="63">
        <v>46232.0</v>
      </c>
      <c r="Q644" s="38"/>
      <c r="R644" s="38"/>
      <c r="S644" s="38"/>
      <c r="T644" s="38"/>
      <c r="U644" s="38"/>
      <c r="V644" s="38"/>
    </row>
    <row r="645">
      <c r="A645" s="75">
        <v>46209.0</v>
      </c>
      <c r="B645" s="27" t="s">
        <v>438</v>
      </c>
      <c r="C645" s="27" t="s">
        <v>35</v>
      </c>
      <c r="D645" s="28" t="s">
        <v>64</v>
      </c>
      <c r="E645" s="27">
        <v>1.0</v>
      </c>
      <c r="F645" s="109" t="s">
        <v>35</v>
      </c>
      <c r="G645" s="27" t="s">
        <v>35</v>
      </c>
      <c r="H645" s="28">
        <v>10429.0</v>
      </c>
      <c r="I645" s="70" t="str">
        <f t="shared" si="24"/>
        <v>10429-GSB-N/A</v>
      </c>
      <c r="J645" s="31" t="s">
        <v>1001</v>
      </c>
      <c r="K645" s="31" t="s">
        <v>55</v>
      </c>
      <c r="L645" s="120">
        <v>46221.0</v>
      </c>
      <c r="M645" s="27" t="s">
        <v>60</v>
      </c>
      <c r="N645" s="2">
        <v>3353.0</v>
      </c>
      <c r="O645" s="36" t="s">
        <v>1002</v>
      </c>
      <c r="P645" s="63">
        <v>46232.0</v>
      </c>
      <c r="Q645" s="38"/>
      <c r="R645" s="38"/>
      <c r="S645" s="38"/>
      <c r="T645" s="38"/>
      <c r="U645" s="38"/>
      <c r="V645" s="38"/>
    </row>
    <row r="646">
      <c r="A646" s="75">
        <v>46182.0</v>
      </c>
      <c r="B646" s="27" t="s">
        <v>503</v>
      </c>
      <c r="C646" s="27" t="s">
        <v>683</v>
      </c>
      <c r="D646" s="28" t="s">
        <v>66</v>
      </c>
      <c r="E646" s="27">
        <v>1.0</v>
      </c>
      <c r="F646" s="109" t="s">
        <v>35</v>
      </c>
      <c r="G646" s="27" t="s">
        <v>1085</v>
      </c>
      <c r="H646" s="28">
        <v>10199.0</v>
      </c>
      <c r="I646" s="70" t="str">
        <f t="shared" si="24"/>
        <v>10199-GSB-N/A</v>
      </c>
      <c r="J646" s="31" t="s">
        <v>1001</v>
      </c>
      <c r="K646" s="31" t="s">
        <v>55</v>
      </c>
      <c r="L646" s="120">
        <v>46221.0</v>
      </c>
      <c r="M646" s="27" t="s">
        <v>60</v>
      </c>
      <c r="N646" s="2">
        <v>3353.0</v>
      </c>
      <c r="O646" s="36" t="s">
        <v>1002</v>
      </c>
      <c r="P646" s="63">
        <v>46232.0</v>
      </c>
      <c r="Q646" s="38"/>
      <c r="R646" s="38"/>
      <c r="S646" s="38"/>
      <c r="T646" s="38"/>
      <c r="U646" s="38"/>
      <c r="V646" s="38"/>
    </row>
    <row r="647">
      <c r="A647" s="75">
        <v>46182.0</v>
      </c>
      <c r="B647" s="27" t="s">
        <v>503</v>
      </c>
      <c r="C647" s="27" t="s">
        <v>683</v>
      </c>
      <c r="D647" s="28" t="s">
        <v>66</v>
      </c>
      <c r="E647" s="27">
        <v>1.0</v>
      </c>
      <c r="F647" s="109" t="s">
        <v>35</v>
      </c>
      <c r="G647" s="27" t="s">
        <v>1086</v>
      </c>
      <c r="H647" s="28">
        <v>10200.0</v>
      </c>
      <c r="I647" s="70" t="str">
        <f t="shared" si="24"/>
        <v>10200-GSB-N/A</v>
      </c>
      <c r="J647" s="31" t="s">
        <v>1001</v>
      </c>
      <c r="K647" s="31" t="s">
        <v>55</v>
      </c>
      <c r="L647" s="120">
        <v>46221.0</v>
      </c>
      <c r="M647" s="27" t="s">
        <v>60</v>
      </c>
      <c r="N647" s="2">
        <v>3353.0</v>
      </c>
      <c r="O647" s="36" t="s">
        <v>1002</v>
      </c>
      <c r="P647" s="63">
        <v>46232.0</v>
      </c>
      <c r="Q647" s="38"/>
      <c r="R647" s="38"/>
      <c r="S647" s="38"/>
      <c r="T647" s="38"/>
      <c r="U647" s="38"/>
      <c r="V647" s="38"/>
    </row>
    <row r="648">
      <c r="A648" s="75">
        <v>46085.0</v>
      </c>
      <c r="B648" s="27" t="s">
        <v>345</v>
      </c>
      <c r="C648" s="27">
        <v>8.86618177071E11</v>
      </c>
      <c r="D648" s="28" t="s">
        <v>67</v>
      </c>
      <c r="E648" s="27">
        <v>1.0</v>
      </c>
      <c r="F648" s="109" t="s">
        <v>35</v>
      </c>
      <c r="G648" s="27" t="s">
        <v>35</v>
      </c>
      <c r="H648" s="28">
        <v>10083.0</v>
      </c>
      <c r="I648" s="70" t="str">
        <f t="shared" si="24"/>
        <v>10083-GSB-N/A</v>
      </c>
      <c r="J648" s="31" t="s">
        <v>1001</v>
      </c>
      <c r="K648" s="31" t="s">
        <v>55</v>
      </c>
      <c r="L648" s="120">
        <v>46221.0</v>
      </c>
      <c r="M648" s="27" t="s">
        <v>60</v>
      </c>
      <c r="N648" s="2">
        <v>3353.0</v>
      </c>
      <c r="O648" s="36" t="s">
        <v>1002</v>
      </c>
      <c r="P648" s="63">
        <v>46232.0</v>
      </c>
      <c r="Q648" s="38"/>
      <c r="R648" s="38"/>
      <c r="S648" s="38"/>
      <c r="T648" s="38"/>
      <c r="U648" s="38"/>
      <c r="V648" s="38"/>
    </row>
    <row r="649">
      <c r="A649" s="75">
        <v>46085.0</v>
      </c>
      <c r="B649" s="27" t="s">
        <v>345</v>
      </c>
      <c r="C649" s="27">
        <v>8.86618177071E11</v>
      </c>
      <c r="D649" s="28" t="s">
        <v>67</v>
      </c>
      <c r="E649" s="27">
        <v>1.0</v>
      </c>
      <c r="F649" s="109" t="s">
        <v>35</v>
      </c>
      <c r="G649" s="27" t="s">
        <v>35</v>
      </c>
      <c r="H649" s="28">
        <v>10087.0</v>
      </c>
      <c r="I649" s="70" t="str">
        <f t="shared" si="24"/>
        <v>10087-GSB-N/A</v>
      </c>
      <c r="J649" s="31" t="s">
        <v>1001</v>
      </c>
      <c r="K649" s="31" t="s">
        <v>55</v>
      </c>
      <c r="L649" s="120">
        <v>46221.0</v>
      </c>
      <c r="M649" s="27" t="s">
        <v>60</v>
      </c>
      <c r="N649" s="2">
        <v>3353.0</v>
      </c>
      <c r="O649" s="36" t="s">
        <v>1002</v>
      </c>
      <c r="P649" s="63">
        <v>46232.0</v>
      </c>
      <c r="Q649" s="38"/>
      <c r="R649" s="38"/>
      <c r="S649" s="38"/>
      <c r="T649" s="38"/>
      <c r="U649" s="38"/>
      <c r="V649" s="38"/>
    </row>
    <row r="650">
      <c r="A650" s="75">
        <v>46209.0</v>
      </c>
      <c r="B650" s="27" t="s">
        <v>438</v>
      </c>
      <c r="C650" s="27" t="s">
        <v>35</v>
      </c>
      <c r="D650" s="28" t="s">
        <v>67</v>
      </c>
      <c r="E650" s="27">
        <v>1.0</v>
      </c>
      <c r="F650" s="109" t="s">
        <v>35</v>
      </c>
      <c r="G650" s="27" t="s">
        <v>35</v>
      </c>
      <c r="H650" s="28">
        <v>10406.0</v>
      </c>
      <c r="I650" s="70" t="str">
        <f t="shared" si="24"/>
        <v>10406-GSB-N/A</v>
      </c>
      <c r="J650" s="31" t="s">
        <v>1001</v>
      </c>
      <c r="K650" s="31" t="s">
        <v>55</v>
      </c>
      <c r="L650" s="120">
        <v>46221.0</v>
      </c>
      <c r="M650" s="27" t="s">
        <v>60</v>
      </c>
      <c r="N650" s="2">
        <v>3353.0</v>
      </c>
      <c r="O650" s="36" t="s">
        <v>1002</v>
      </c>
      <c r="P650" s="63">
        <v>46232.0</v>
      </c>
      <c r="Q650" s="38"/>
      <c r="R650" s="38"/>
      <c r="S650" s="38"/>
      <c r="T650" s="38"/>
      <c r="U650" s="38"/>
      <c r="V650" s="38"/>
    </row>
    <row r="651">
      <c r="A651" s="75">
        <v>46219.0</v>
      </c>
      <c r="B651" s="27">
        <v>11075.0</v>
      </c>
      <c r="C651" s="27" t="s">
        <v>35</v>
      </c>
      <c r="D651" s="28" t="s">
        <v>782</v>
      </c>
      <c r="E651" s="27">
        <v>1.0</v>
      </c>
      <c r="F651" s="109" t="s">
        <v>35</v>
      </c>
      <c r="G651" s="27" t="s">
        <v>35</v>
      </c>
      <c r="H651" s="28" t="s">
        <v>35</v>
      </c>
      <c r="I651" s="70" t="str">
        <f t="shared" si="24"/>
        <v>N/A-GSB-N/A</v>
      </c>
      <c r="J651" s="31" t="s">
        <v>1001</v>
      </c>
      <c r="K651" s="31" t="s">
        <v>55</v>
      </c>
      <c r="L651" s="120">
        <v>46221.0</v>
      </c>
      <c r="M651" s="27" t="s">
        <v>60</v>
      </c>
      <c r="N651" s="2">
        <v>3353.0</v>
      </c>
      <c r="O651" s="36" t="s">
        <v>1002</v>
      </c>
      <c r="P651" s="63">
        <v>46232.0</v>
      </c>
      <c r="Q651" s="38"/>
      <c r="R651" s="38"/>
      <c r="S651" s="38"/>
      <c r="T651" s="38"/>
      <c r="U651" s="38"/>
      <c r="V651" s="38"/>
    </row>
    <row r="652">
      <c r="A652" s="75">
        <v>46209.0</v>
      </c>
      <c r="B652" s="27" t="s">
        <v>438</v>
      </c>
      <c r="C652" s="27" t="s">
        <v>35</v>
      </c>
      <c r="D652" s="28" t="s">
        <v>41</v>
      </c>
      <c r="E652" s="27">
        <v>1.0</v>
      </c>
      <c r="F652" s="109" t="s">
        <v>35</v>
      </c>
      <c r="G652" s="27" t="s">
        <v>35</v>
      </c>
      <c r="H652" s="28">
        <v>10415.0</v>
      </c>
      <c r="I652" s="70" t="str">
        <f t="shared" si="24"/>
        <v>10415-GSB-N/A</v>
      </c>
      <c r="J652" s="31" t="s">
        <v>1087</v>
      </c>
      <c r="K652" s="27" t="s">
        <v>152</v>
      </c>
      <c r="L652" s="120">
        <v>46225.0</v>
      </c>
      <c r="M652" s="27" t="s">
        <v>60</v>
      </c>
      <c r="N652" s="2">
        <v>3085.0</v>
      </c>
      <c r="O652" s="36" t="s">
        <v>887</v>
      </c>
      <c r="P652" s="63">
        <v>46230.0</v>
      </c>
      <c r="Q652" s="38"/>
      <c r="R652" s="38"/>
      <c r="S652" s="38"/>
      <c r="T652" s="38"/>
      <c r="U652" s="38"/>
      <c r="V652" s="38"/>
    </row>
    <row r="653">
      <c r="A653" s="75">
        <v>46184.0</v>
      </c>
      <c r="B653" s="27" t="s">
        <v>621</v>
      </c>
      <c r="C653" s="27" t="s">
        <v>617</v>
      </c>
      <c r="D653" s="28" t="s">
        <v>8</v>
      </c>
      <c r="E653" s="27">
        <v>1.0</v>
      </c>
      <c r="F653" s="27" t="s">
        <v>1088</v>
      </c>
      <c r="G653" s="109" t="s">
        <v>35</v>
      </c>
      <c r="H653" s="28">
        <v>10359.0</v>
      </c>
      <c r="I653" s="70" t="str">
        <f t="shared" si="24"/>
        <v>10359-GSB-SDS/1043474</v>
      </c>
      <c r="J653" s="31" t="s">
        <v>1087</v>
      </c>
      <c r="K653" s="27" t="s">
        <v>152</v>
      </c>
      <c r="L653" s="120">
        <v>46225.0</v>
      </c>
      <c r="M653" s="27" t="s">
        <v>60</v>
      </c>
      <c r="N653" s="2">
        <v>3089.0</v>
      </c>
      <c r="O653" s="36" t="s">
        <v>752</v>
      </c>
      <c r="P653" s="63">
        <v>46247.0</v>
      </c>
      <c r="Q653" s="38"/>
      <c r="R653" s="38"/>
      <c r="S653" s="38"/>
      <c r="T653" s="38"/>
      <c r="U653" s="38"/>
      <c r="V653" s="38"/>
    </row>
    <row r="654">
      <c r="A654" s="75">
        <v>46184.0</v>
      </c>
      <c r="B654" s="27" t="s">
        <v>621</v>
      </c>
      <c r="C654" s="27" t="s">
        <v>617</v>
      </c>
      <c r="D654" s="28" t="s">
        <v>8</v>
      </c>
      <c r="E654" s="27">
        <v>1.0</v>
      </c>
      <c r="F654" s="27" t="s">
        <v>1089</v>
      </c>
      <c r="G654" s="109" t="s">
        <v>35</v>
      </c>
      <c r="H654" s="28">
        <v>10365.0</v>
      </c>
      <c r="I654" s="70" t="str">
        <f t="shared" si="24"/>
        <v>10365-GSB-SDS/1043478</v>
      </c>
      <c r="J654" s="31" t="s">
        <v>1087</v>
      </c>
      <c r="K654" s="27" t="s">
        <v>152</v>
      </c>
      <c r="L654" s="120">
        <v>46225.0</v>
      </c>
      <c r="M654" s="27" t="s">
        <v>60</v>
      </c>
      <c r="N654" s="2">
        <v>3085.0</v>
      </c>
      <c r="O654" s="36" t="s">
        <v>887</v>
      </c>
      <c r="P654" s="63">
        <v>46230.0</v>
      </c>
      <c r="Q654" s="38"/>
      <c r="R654" s="38"/>
      <c r="S654" s="38"/>
      <c r="T654" s="38"/>
      <c r="U654" s="38"/>
      <c r="V654" s="38"/>
    </row>
    <row r="655">
      <c r="A655" s="75">
        <v>46225.0</v>
      </c>
      <c r="B655" s="27" t="s">
        <v>413</v>
      </c>
      <c r="C655" s="27" t="s">
        <v>168</v>
      </c>
      <c r="D655" s="28" t="s">
        <v>6</v>
      </c>
      <c r="E655" s="27">
        <v>1.0</v>
      </c>
      <c r="F655" s="27" t="s">
        <v>1090</v>
      </c>
      <c r="G655" s="27" t="s">
        <v>1091</v>
      </c>
      <c r="H655" s="28">
        <v>10435.0</v>
      </c>
      <c r="I655" s="70" t="str">
        <f t="shared" si="24"/>
        <v>10435-GSB-SDS/1026438</v>
      </c>
      <c r="J655" s="31" t="s">
        <v>1001</v>
      </c>
      <c r="K655" s="31" t="s">
        <v>55</v>
      </c>
      <c r="L655" s="120">
        <v>46226.0</v>
      </c>
      <c r="M655" s="27" t="s">
        <v>60</v>
      </c>
      <c r="N655" s="2">
        <v>3353.0</v>
      </c>
      <c r="O655" s="36" t="s">
        <v>1002</v>
      </c>
      <c r="P655" s="63">
        <v>46232.0</v>
      </c>
      <c r="Q655" s="38"/>
      <c r="R655" s="38"/>
      <c r="S655" s="38"/>
      <c r="T655" s="38"/>
      <c r="U655" s="38"/>
      <c r="V655" s="38"/>
    </row>
    <row r="656">
      <c r="A656" s="75">
        <v>46226.0</v>
      </c>
      <c r="B656" s="27" t="s">
        <v>1092</v>
      </c>
      <c r="C656" s="27" t="s">
        <v>35</v>
      </c>
      <c r="D656" s="28" t="s">
        <v>31</v>
      </c>
      <c r="E656" s="27">
        <v>1.0</v>
      </c>
      <c r="F656" s="109" t="s">
        <v>35</v>
      </c>
      <c r="G656" s="27" t="s">
        <v>35</v>
      </c>
      <c r="H656" s="28">
        <v>10438.0</v>
      </c>
      <c r="I656" s="70" t="str">
        <f t="shared" si="24"/>
        <v>10438-GSB-N/A</v>
      </c>
      <c r="J656" s="31" t="s">
        <v>1093</v>
      </c>
      <c r="K656" s="27" t="s">
        <v>473</v>
      </c>
      <c r="L656" s="120">
        <v>46226.0</v>
      </c>
      <c r="M656" s="27" t="s">
        <v>139</v>
      </c>
      <c r="N656" s="2">
        <v>3302.0</v>
      </c>
      <c r="O656" s="36" t="s">
        <v>451</v>
      </c>
      <c r="P656" s="63">
        <v>46227.0</v>
      </c>
      <c r="Q656" s="38"/>
      <c r="R656" s="38"/>
      <c r="S656" s="38"/>
      <c r="T656" s="38"/>
      <c r="U656" s="38"/>
      <c r="V656" s="38"/>
    </row>
    <row r="657">
      <c r="A657" s="75">
        <v>46226.0</v>
      </c>
      <c r="B657" s="27" t="s">
        <v>1092</v>
      </c>
      <c r="C657" s="27" t="s">
        <v>35</v>
      </c>
      <c r="D657" s="28" t="s">
        <v>31</v>
      </c>
      <c r="E657" s="27">
        <v>1.0</v>
      </c>
      <c r="F657" s="109" t="s">
        <v>35</v>
      </c>
      <c r="G657" s="27" t="s">
        <v>35</v>
      </c>
      <c r="H657" s="28">
        <v>10439.0</v>
      </c>
      <c r="I657" s="70" t="str">
        <f t="shared" si="24"/>
        <v>10439-GSB-N/A</v>
      </c>
      <c r="J657" s="31" t="s">
        <v>1093</v>
      </c>
      <c r="K657" s="27" t="s">
        <v>473</v>
      </c>
      <c r="L657" s="120">
        <v>46226.0</v>
      </c>
      <c r="M657" s="27" t="s">
        <v>139</v>
      </c>
      <c r="N657" s="2">
        <v>3304.0</v>
      </c>
      <c r="O657" s="36" t="s">
        <v>1094</v>
      </c>
      <c r="P657" s="63">
        <v>46235.0</v>
      </c>
      <c r="Q657" s="38"/>
      <c r="R657" s="38"/>
      <c r="S657" s="38"/>
      <c r="T657" s="38"/>
      <c r="U657" s="38"/>
      <c r="V657" s="38"/>
    </row>
    <row r="658">
      <c r="A658" s="75">
        <v>46226.0</v>
      </c>
      <c r="B658" s="27" t="s">
        <v>1092</v>
      </c>
      <c r="C658" s="27" t="s">
        <v>35</v>
      </c>
      <c r="D658" s="28" t="s">
        <v>67</v>
      </c>
      <c r="E658" s="27">
        <v>1.0</v>
      </c>
      <c r="F658" s="109" t="s">
        <v>35</v>
      </c>
      <c r="G658" s="27" t="s">
        <v>35</v>
      </c>
      <c r="H658" s="28">
        <v>10440.0</v>
      </c>
      <c r="I658" s="70" t="str">
        <f t="shared" si="24"/>
        <v>10440-GSB-N/A</v>
      </c>
      <c r="J658" s="31" t="s">
        <v>1093</v>
      </c>
      <c r="K658" s="27" t="s">
        <v>473</v>
      </c>
      <c r="L658" s="120">
        <v>46226.0</v>
      </c>
      <c r="M658" s="27" t="s">
        <v>139</v>
      </c>
      <c r="N658" s="2">
        <v>3302.0</v>
      </c>
      <c r="O658" s="36" t="s">
        <v>451</v>
      </c>
      <c r="P658" s="63">
        <v>46227.0</v>
      </c>
      <c r="Q658" s="38"/>
      <c r="R658" s="38"/>
      <c r="S658" s="38"/>
      <c r="T658" s="38"/>
      <c r="U658" s="38"/>
      <c r="V658" s="38"/>
    </row>
    <row r="659">
      <c r="A659" s="75">
        <v>46226.0</v>
      </c>
      <c r="B659" s="27" t="s">
        <v>1092</v>
      </c>
      <c r="C659" s="27" t="s">
        <v>35</v>
      </c>
      <c r="D659" s="28" t="s">
        <v>67</v>
      </c>
      <c r="E659" s="27">
        <v>1.0</v>
      </c>
      <c r="F659" s="109" t="s">
        <v>35</v>
      </c>
      <c r="G659" s="27" t="s">
        <v>35</v>
      </c>
      <c r="H659" s="28">
        <v>10441.0</v>
      </c>
      <c r="I659" s="70" t="str">
        <f t="shared" si="24"/>
        <v>10441-GSB-N/A</v>
      </c>
      <c r="J659" s="31" t="s">
        <v>1093</v>
      </c>
      <c r="K659" s="27" t="s">
        <v>473</v>
      </c>
      <c r="L659" s="120">
        <v>46226.0</v>
      </c>
      <c r="M659" s="27" t="s">
        <v>139</v>
      </c>
      <c r="N659" s="2">
        <v>3314.0</v>
      </c>
      <c r="O659" s="36" t="s">
        <v>1095</v>
      </c>
      <c r="P659" s="63">
        <v>46256.0</v>
      </c>
      <c r="Q659" s="38"/>
      <c r="R659" s="38"/>
      <c r="S659" s="38"/>
      <c r="T659" s="38"/>
      <c r="U659" s="38"/>
      <c r="V659" s="38"/>
    </row>
    <row r="660">
      <c r="A660" s="75">
        <v>46227.0</v>
      </c>
      <c r="B660" s="27" t="s">
        <v>1096</v>
      </c>
      <c r="C660" s="27" t="s">
        <v>35</v>
      </c>
      <c r="D660" s="28" t="s">
        <v>481</v>
      </c>
      <c r="E660" s="27">
        <v>1.0</v>
      </c>
      <c r="F660" s="109" t="s">
        <v>35</v>
      </c>
      <c r="G660" s="27" t="s">
        <v>35</v>
      </c>
      <c r="H660" s="28">
        <v>10445.0</v>
      </c>
      <c r="I660" s="70" t="str">
        <f>CONCATENATE(H660,"-","GSB","-",G660)</f>
        <v>10445-GSB-N/A</v>
      </c>
      <c r="J660" s="31" t="s">
        <v>977</v>
      </c>
      <c r="K660" s="27" t="s">
        <v>270</v>
      </c>
      <c r="L660" s="120">
        <v>46227.0</v>
      </c>
      <c r="M660" s="35" t="s">
        <v>139</v>
      </c>
      <c r="N660" s="2">
        <v>3265.0</v>
      </c>
      <c r="O660" s="36" t="s">
        <v>1097</v>
      </c>
      <c r="P660" s="37">
        <v>46230.0</v>
      </c>
      <c r="Q660" s="38"/>
      <c r="R660" s="38"/>
      <c r="S660" s="38"/>
      <c r="T660" s="38"/>
      <c r="U660" s="38"/>
      <c r="V660" s="38"/>
    </row>
    <row r="661">
      <c r="A661" s="75">
        <v>46172.0</v>
      </c>
      <c r="B661" s="27" t="s">
        <v>977</v>
      </c>
      <c r="C661" s="27">
        <v>7.703240073126E12</v>
      </c>
      <c r="D661" s="28" t="s">
        <v>333</v>
      </c>
      <c r="E661" s="27">
        <v>1.0</v>
      </c>
      <c r="F661" s="109" t="s">
        <v>35</v>
      </c>
      <c r="G661" s="27" t="s">
        <v>35</v>
      </c>
      <c r="H661" s="28">
        <v>10442.0</v>
      </c>
      <c r="I661" s="70" t="str">
        <f t="shared" ref="I661:I703" si="25">CONCATENATE(H661,"-","GSB","-",F661)</f>
        <v>10442-GSB-N/A</v>
      </c>
      <c r="J661" s="31" t="s">
        <v>151</v>
      </c>
      <c r="K661" s="27" t="s">
        <v>747</v>
      </c>
      <c r="L661" s="120">
        <v>46172.0</v>
      </c>
      <c r="M661" s="27" t="s">
        <v>1098</v>
      </c>
      <c r="N661" s="2">
        <v>2659.0</v>
      </c>
      <c r="O661" s="36" t="s">
        <v>770</v>
      </c>
      <c r="P661" s="63">
        <v>46197.0</v>
      </c>
      <c r="Q661" s="38"/>
      <c r="R661" s="38"/>
      <c r="S661" s="38"/>
      <c r="T661" s="38"/>
      <c r="U661" s="38"/>
      <c r="V661" s="38"/>
    </row>
    <row r="662">
      <c r="A662" s="75">
        <v>46172.0</v>
      </c>
      <c r="B662" s="27" t="s">
        <v>977</v>
      </c>
      <c r="C662" s="27">
        <v>7.703240073126E12</v>
      </c>
      <c r="D662" s="28" t="s">
        <v>333</v>
      </c>
      <c r="E662" s="27">
        <v>1.0</v>
      </c>
      <c r="F662" s="109" t="s">
        <v>35</v>
      </c>
      <c r="G662" s="27" t="s">
        <v>35</v>
      </c>
      <c r="H662" s="28">
        <v>10443.0</v>
      </c>
      <c r="I662" s="70" t="str">
        <f t="shared" si="25"/>
        <v>10443-GSB-N/A</v>
      </c>
      <c r="J662" s="31" t="s">
        <v>151</v>
      </c>
      <c r="K662" s="27" t="s">
        <v>747</v>
      </c>
      <c r="L662" s="120">
        <v>46172.0</v>
      </c>
      <c r="M662" s="27" t="s">
        <v>1098</v>
      </c>
      <c r="N662" s="2">
        <v>2666.0</v>
      </c>
      <c r="O662" s="36" t="s">
        <v>1099</v>
      </c>
      <c r="P662" s="63">
        <v>46226.0</v>
      </c>
      <c r="Q662" s="38"/>
      <c r="R662" s="38"/>
      <c r="S662" s="38"/>
      <c r="T662" s="38"/>
      <c r="U662" s="38"/>
      <c r="V662" s="38"/>
    </row>
    <row r="663">
      <c r="A663" s="75">
        <v>46172.0</v>
      </c>
      <c r="B663" s="27" t="s">
        <v>977</v>
      </c>
      <c r="C663" s="27">
        <v>7.703240073126E12</v>
      </c>
      <c r="D663" s="28" t="s">
        <v>333</v>
      </c>
      <c r="E663" s="27">
        <v>1.0</v>
      </c>
      <c r="F663" s="109" t="s">
        <v>35</v>
      </c>
      <c r="G663" s="27" t="s">
        <v>35</v>
      </c>
      <c r="H663" s="28">
        <v>10444.0</v>
      </c>
      <c r="I663" s="70" t="str">
        <f t="shared" si="25"/>
        <v>10444-GSB-N/A</v>
      </c>
      <c r="J663" s="31" t="s">
        <v>151</v>
      </c>
      <c r="K663" s="27" t="s">
        <v>747</v>
      </c>
      <c r="L663" s="120">
        <v>46172.0</v>
      </c>
      <c r="M663" s="27" t="s">
        <v>1098</v>
      </c>
      <c r="N663" s="2"/>
      <c r="O663" s="51"/>
      <c r="P663" s="93"/>
      <c r="Q663" s="38"/>
      <c r="R663" s="38"/>
      <c r="S663" s="38"/>
      <c r="T663" s="38"/>
      <c r="U663" s="38"/>
      <c r="V663" s="38"/>
    </row>
    <row r="664">
      <c r="A664" s="75">
        <v>46209.0</v>
      </c>
      <c r="B664" s="27" t="s">
        <v>438</v>
      </c>
      <c r="C664" s="27" t="s">
        <v>35</v>
      </c>
      <c r="D664" s="28" t="s">
        <v>33</v>
      </c>
      <c r="E664" s="27">
        <v>1.0</v>
      </c>
      <c r="F664" s="109" t="s">
        <v>35</v>
      </c>
      <c r="G664" s="27" t="s">
        <v>35</v>
      </c>
      <c r="H664" s="28" t="s">
        <v>35</v>
      </c>
      <c r="I664" s="70" t="str">
        <f t="shared" si="25"/>
        <v>N/A-GSB-N/A</v>
      </c>
      <c r="J664" s="31" t="s">
        <v>1100</v>
      </c>
      <c r="K664" s="27" t="s">
        <v>473</v>
      </c>
      <c r="L664" s="120">
        <v>46231.0</v>
      </c>
      <c r="M664" s="27" t="s">
        <v>1098</v>
      </c>
      <c r="N664" s="2"/>
      <c r="O664" s="51"/>
      <c r="P664" s="93"/>
      <c r="Q664" s="38"/>
      <c r="R664" s="38"/>
      <c r="S664" s="38"/>
      <c r="T664" s="38"/>
      <c r="U664" s="38"/>
      <c r="V664" s="38"/>
    </row>
    <row r="665">
      <c r="A665" s="75">
        <v>46209.0</v>
      </c>
      <c r="B665" s="27" t="s">
        <v>438</v>
      </c>
      <c r="C665" s="27" t="s">
        <v>35</v>
      </c>
      <c r="D665" s="28" t="s">
        <v>36</v>
      </c>
      <c r="E665" s="27">
        <v>1.0</v>
      </c>
      <c r="F665" s="109" t="s">
        <v>35</v>
      </c>
      <c r="G665" s="27" t="s">
        <v>35</v>
      </c>
      <c r="H665" s="28" t="s">
        <v>35</v>
      </c>
      <c r="I665" s="70" t="str">
        <f t="shared" si="25"/>
        <v>N/A-GSB-N/A</v>
      </c>
      <c r="J665" s="31" t="s">
        <v>1100</v>
      </c>
      <c r="K665" s="27" t="s">
        <v>473</v>
      </c>
      <c r="L665" s="120">
        <v>46231.0</v>
      </c>
      <c r="M665" s="27" t="s">
        <v>1098</v>
      </c>
      <c r="N665" s="2">
        <v>3305.0</v>
      </c>
      <c r="O665" s="36" t="s">
        <v>787</v>
      </c>
      <c r="P665" s="63">
        <v>46238.0</v>
      </c>
      <c r="Q665" s="38"/>
      <c r="R665" s="38"/>
      <c r="S665" s="38"/>
      <c r="T665" s="38"/>
      <c r="U665" s="38"/>
      <c r="V665" s="38"/>
    </row>
    <row r="666">
      <c r="A666" s="75">
        <v>46209.0</v>
      </c>
      <c r="B666" s="27" t="s">
        <v>438</v>
      </c>
      <c r="C666" s="27" t="s">
        <v>35</v>
      </c>
      <c r="D666" s="28" t="s">
        <v>36</v>
      </c>
      <c r="E666" s="27">
        <v>1.0</v>
      </c>
      <c r="F666" s="109" t="s">
        <v>35</v>
      </c>
      <c r="G666" s="27" t="s">
        <v>35</v>
      </c>
      <c r="H666" s="28" t="s">
        <v>35</v>
      </c>
      <c r="I666" s="70" t="str">
        <f t="shared" si="25"/>
        <v>N/A-GSB-N/A</v>
      </c>
      <c r="J666" s="31" t="s">
        <v>1100</v>
      </c>
      <c r="K666" s="27" t="s">
        <v>473</v>
      </c>
      <c r="L666" s="120">
        <v>46231.0</v>
      </c>
      <c r="M666" s="27" t="s">
        <v>1098</v>
      </c>
      <c r="N666" s="2">
        <v>3307.0</v>
      </c>
      <c r="O666" s="36" t="s">
        <v>1101</v>
      </c>
      <c r="P666" s="63">
        <v>46245.0</v>
      </c>
      <c r="Q666" s="38"/>
      <c r="R666" s="38"/>
      <c r="S666" s="38"/>
      <c r="T666" s="38"/>
      <c r="U666" s="38"/>
      <c r="V666" s="38"/>
    </row>
    <row r="667">
      <c r="A667" s="75">
        <v>46209.0</v>
      </c>
      <c r="B667" s="27" t="s">
        <v>438</v>
      </c>
      <c r="C667" s="27" t="s">
        <v>35</v>
      </c>
      <c r="D667" s="28" t="s">
        <v>36</v>
      </c>
      <c r="E667" s="27">
        <v>1.0</v>
      </c>
      <c r="F667" s="109" t="s">
        <v>35</v>
      </c>
      <c r="G667" s="27" t="s">
        <v>35</v>
      </c>
      <c r="H667" s="28" t="s">
        <v>35</v>
      </c>
      <c r="I667" s="70" t="str">
        <f t="shared" si="25"/>
        <v>N/A-GSB-N/A</v>
      </c>
      <c r="J667" s="31" t="s">
        <v>1100</v>
      </c>
      <c r="K667" s="27" t="s">
        <v>473</v>
      </c>
      <c r="L667" s="120">
        <v>46231.0</v>
      </c>
      <c r="M667" s="27" t="s">
        <v>1098</v>
      </c>
      <c r="N667" s="2"/>
      <c r="O667" s="51"/>
      <c r="P667" s="93"/>
      <c r="Q667" s="38"/>
      <c r="R667" s="38"/>
      <c r="S667" s="38"/>
      <c r="T667" s="38"/>
      <c r="U667" s="38"/>
      <c r="V667" s="38"/>
    </row>
    <row r="668">
      <c r="A668" s="75">
        <v>46209.0</v>
      </c>
      <c r="B668" s="27" t="s">
        <v>438</v>
      </c>
      <c r="C668" s="27" t="s">
        <v>35</v>
      </c>
      <c r="D668" s="28" t="s">
        <v>36</v>
      </c>
      <c r="E668" s="27">
        <v>1.0</v>
      </c>
      <c r="F668" s="109" t="s">
        <v>35</v>
      </c>
      <c r="G668" s="27" t="s">
        <v>35</v>
      </c>
      <c r="H668" s="28" t="s">
        <v>35</v>
      </c>
      <c r="I668" s="70" t="str">
        <f t="shared" si="25"/>
        <v>N/A-GSB-N/A</v>
      </c>
      <c r="J668" s="31" t="s">
        <v>1100</v>
      </c>
      <c r="K668" s="27" t="s">
        <v>473</v>
      </c>
      <c r="L668" s="120">
        <v>46231.0</v>
      </c>
      <c r="M668" s="27" t="s">
        <v>1098</v>
      </c>
      <c r="N668" s="2"/>
      <c r="O668" s="51"/>
      <c r="P668" s="93"/>
      <c r="Q668" s="38"/>
      <c r="R668" s="38"/>
      <c r="S668" s="38"/>
      <c r="T668" s="38"/>
      <c r="U668" s="38"/>
      <c r="V668" s="38"/>
    </row>
    <row r="669">
      <c r="A669" s="75">
        <v>46209.0</v>
      </c>
      <c r="B669" s="27" t="s">
        <v>438</v>
      </c>
      <c r="C669" s="27" t="s">
        <v>35</v>
      </c>
      <c r="D669" s="28" t="s">
        <v>36</v>
      </c>
      <c r="E669" s="27">
        <v>1.0</v>
      </c>
      <c r="F669" s="109" t="s">
        <v>35</v>
      </c>
      <c r="G669" s="27" t="s">
        <v>35</v>
      </c>
      <c r="H669" s="28" t="s">
        <v>35</v>
      </c>
      <c r="I669" s="70" t="str">
        <f t="shared" si="25"/>
        <v>N/A-GSB-N/A</v>
      </c>
      <c r="J669" s="31" t="s">
        <v>1100</v>
      </c>
      <c r="K669" s="27" t="s">
        <v>473</v>
      </c>
      <c r="L669" s="120">
        <v>46231.0</v>
      </c>
      <c r="M669" s="27" t="s">
        <v>1098</v>
      </c>
      <c r="N669" s="2"/>
      <c r="O669" s="51"/>
      <c r="P669" s="93"/>
      <c r="Q669" s="38"/>
      <c r="R669" s="38"/>
      <c r="S669" s="38"/>
      <c r="T669" s="38"/>
      <c r="U669" s="38"/>
      <c r="V669" s="38"/>
    </row>
    <row r="670">
      <c r="A670" s="75">
        <v>46209.0</v>
      </c>
      <c r="B670" s="27" t="s">
        <v>438</v>
      </c>
      <c r="C670" s="27" t="s">
        <v>35</v>
      </c>
      <c r="D670" s="28" t="s">
        <v>36</v>
      </c>
      <c r="E670" s="27">
        <v>1.0</v>
      </c>
      <c r="F670" s="109" t="s">
        <v>35</v>
      </c>
      <c r="G670" s="27" t="s">
        <v>35</v>
      </c>
      <c r="H670" s="28" t="s">
        <v>35</v>
      </c>
      <c r="I670" s="70" t="str">
        <f t="shared" si="25"/>
        <v>N/A-GSB-N/A</v>
      </c>
      <c r="J670" s="31" t="s">
        <v>1100</v>
      </c>
      <c r="K670" s="27" t="s">
        <v>473</v>
      </c>
      <c r="L670" s="120">
        <v>46231.0</v>
      </c>
      <c r="M670" s="27" t="s">
        <v>1098</v>
      </c>
      <c r="N670" s="2"/>
      <c r="O670" s="51"/>
      <c r="P670" s="93"/>
      <c r="Q670" s="38"/>
      <c r="R670" s="38"/>
      <c r="S670" s="38"/>
      <c r="T670" s="38"/>
      <c r="U670" s="38"/>
      <c r="V670" s="38"/>
    </row>
    <row r="671">
      <c r="A671" s="75">
        <v>46209.0</v>
      </c>
      <c r="B671" s="27" t="s">
        <v>438</v>
      </c>
      <c r="C671" s="27" t="s">
        <v>35</v>
      </c>
      <c r="D671" s="28" t="s">
        <v>36</v>
      </c>
      <c r="E671" s="27">
        <v>1.0</v>
      </c>
      <c r="F671" s="109" t="s">
        <v>35</v>
      </c>
      <c r="G671" s="27" t="s">
        <v>35</v>
      </c>
      <c r="H671" s="28" t="s">
        <v>35</v>
      </c>
      <c r="I671" s="70" t="str">
        <f t="shared" si="25"/>
        <v>N/A-GSB-N/A</v>
      </c>
      <c r="J671" s="31" t="s">
        <v>1100</v>
      </c>
      <c r="K671" s="27" t="s">
        <v>473</v>
      </c>
      <c r="L671" s="120">
        <v>46231.0</v>
      </c>
      <c r="M671" s="27" t="s">
        <v>1098</v>
      </c>
      <c r="N671" s="2"/>
      <c r="O671" s="51"/>
      <c r="P671" s="93"/>
      <c r="Q671" s="38"/>
      <c r="R671" s="38"/>
      <c r="S671" s="38"/>
      <c r="T671" s="38"/>
      <c r="U671" s="38"/>
      <c r="V671" s="38"/>
    </row>
    <row r="672">
      <c r="A672" s="75">
        <v>46209.0</v>
      </c>
      <c r="B672" s="27" t="s">
        <v>438</v>
      </c>
      <c r="C672" s="27" t="s">
        <v>35</v>
      </c>
      <c r="D672" s="28" t="s">
        <v>36</v>
      </c>
      <c r="E672" s="27">
        <v>1.0</v>
      </c>
      <c r="F672" s="109" t="s">
        <v>35</v>
      </c>
      <c r="G672" s="27" t="s">
        <v>35</v>
      </c>
      <c r="H672" s="28" t="s">
        <v>35</v>
      </c>
      <c r="I672" s="70" t="str">
        <f t="shared" si="25"/>
        <v>N/A-GSB-N/A</v>
      </c>
      <c r="J672" s="31" t="s">
        <v>1100</v>
      </c>
      <c r="K672" s="27" t="s">
        <v>473</v>
      </c>
      <c r="L672" s="120">
        <v>46231.0</v>
      </c>
      <c r="M672" s="27" t="s">
        <v>1098</v>
      </c>
      <c r="N672" s="2"/>
      <c r="O672" s="51"/>
      <c r="P672" s="93"/>
      <c r="Q672" s="38"/>
      <c r="R672" s="38"/>
      <c r="S672" s="38"/>
      <c r="T672" s="38"/>
      <c r="U672" s="38"/>
      <c r="V672" s="38"/>
    </row>
    <row r="673">
      <c r="A673" s="75">
        <v>46209.0</v>
      </c>
      <c r="B673" s="27" t="s">
        <v>438</v>
      </c>
      <c r="C673" s="27" t="s">
        <v>35</v>
      </c>
      <c r="D673" s="28" t="s">
        <v>36</v>
      </c>
      <c r="E673" s="27">
        <v>1.0</v>
      </c>
      <c r="F673" s="109" t="s">
        <v>35</v>
      </c>
      <c r="G673" s="27" t="s">
        <v>35</v>
      </c>
      <c r="H673" s="28" t="s">
        <v>35</v>
      </c>
      <c r="I673" s="70" t="str">
        <f t="shared" si="25"/>
        <v>N/A-GSB-N/A</v>
      </c>
      <c r="J673" s="31" t="s">
        <v>1100</v>
      </c>
      <c r="K673" s="27" t="s">
        <v>473</v>
      </c>
      <c r="L673" s="120">
        <v>46231.0</v>
      </c>
      <c r="M673" s="27" t="s">
        <v>1098</v>
      </c>
      <c r="N673" s="2"/>
      <c r="O673" s="51"/>
      <c r="P673" s="93"/>
      <c r="Q673" s="38"/>
      <c r="R673" s="38"/>
      <c r="S673" s="38"/>
      <c r="T673" s="38"/>
      <c r="U673" s="38"/>
      <c r="V673" s="38"/>
    </row>
    <row r="674">
      <c r="A674" s="75">
        <v>46209.0</v>
      </c>
      <c r="B674" s="27" t="s">
        <v>438</v>
      </c>
      <c r="C674" s="27" t="s">
        <v>35</v>
      </c>
      <c r="D674" s="28" t="s">
        <v>36</v>
      </c>
      <c r="E674" s="27">
        <v>1.0</v>
      </c>
      <c r="F674" s="109" t="s">
        <v>35</v>
      </c>
      <c r="G674" s="27" t="s">
        <v>35</v>
      </c>
      <c r="H674" s="28" t="s">
        <v>35</v>
      </c>
      <c r="I674" s="70" t="str">
        <f t="shared" si="25"/>
        <v>N/A-GSB-N/A</v>
      </c>
      <c r="J674" s="31" t="s">
        <v>1100</v>
      </c>
      <c r="K674" s="27" t="s">
        <v>473</v>
      </c>
      <c r="L674" s="120">
        <v>46231.0</v>
      </c>
      <c r="M674" s="27" t="s">
        <v>1098</v>
      </c>
      <c r="N674" s="2"/>
      <c r="O674" s="51"/>
      <c r="P674" s="93"/>
      <c r="Q674" s="38"/>
      <c r="R674" s="38"/>
      <c r="S674" s="38"/>
      <c r="T674" s="38"/>
      <c r="U674" s="38"/>
      <c r="V674" s="38"/>
    </row>
    <row r="675">
      <c r="A675" s="75">
        <v>46209.0</v>
      </c>
      <c r="B675" s="27" t="s">
        <v>438</v>
      </c>
      <c r="C675" s="27" t="s">
        <v>35</v>
      </c>
      <c r="D675" s="28" t="s">
        <v>64</v>
      </c>
      <c r="E675" s="27">
        <v>1.0</v>
      </c>
      <c r="F675" s="109" t="s">
        <v>35</v>
      </c>
      <c r="G675" s="27" t="s">
        <v>35</v>
      </c>
      <c r="H675" s="28">
        <v>10430.0</v>
      </c>
      <c r="I675" s="70" t="str">
        <f t="shared" si="25"/>
        <v>10430-GSB-N/A</v>
      </c>
      <c r="J675" s="31" t="s">
        <v>1100</v>
      </c>
      <c r="K675" s="27" t="s">
        <v>473</v>
      </c>
      <c r="L675" s="120">
        <v>46231.0</v>
      </c>
      <c r="M675" s="27" t="s">
        <v>1098</v>
      </c>
      <c r="N675" s="2">
        <v>3304.0</v>
      </c>
      <c r="O675" s="36" t="s">
        <v>1094</v>
      </c>
      <c r="P675" s="63">
        <v>46235.0</v>
      </c>
      <c r="Q675" s="38"/>
      <c r="R675" s="38"/>
      <c r="S675" s="38"/>
      <c r="T675" s="38"/>
      <c r="U675" s="38"/>
      <c r="V675" s="38"/>
    </row>
    <row r="676">
      <c r="A676" s="75">
        <v>46209.0</v>
      </c>
      <c r="B676" s="27" t="s">
        <v>438</v>
      </c>
      <c r="C676" s="27" t="s">
        <v>35</v>
      </c>
      <c r="D676" s="28" t="s">
        <v>33</v>
      </c>
      <c r="E676" s="27">
        <v>1.0</v>
      </c>
      <c r="F676" s="109" t="s">
        <v>35</v>
      </c>
      <c r="G676" s="27" t="s">
        <v>35</v>
      </c>
      <c r="H676" s="28" t="s">
        <v>35</v>
      </c>
      <c r="I676" s="70" t="str">
        <f t="shared" si="25"/>
        <v>N/A-GSB-N/A</v>
      </c>
      <c r="J676" s="124" t="s">
        <v>1102</v>
      </c>
      <c r="K676" s="25" t="s">
        <v>747</v>
      </c>
      <c r="L676" s="104">
        <v>46231.0</v>
      </c>
      <c r="M676" s="27" t="s">
        <v>1098</v>
      </c>
      <c r="N676" s="2"/>
      <c r="O676" s="51"/>
      <c r="P676" s="93"/>
      <c r="Q676" s="38"/>
      <c r="R676" s="38"/>
      <c r="S676" s="38"/>
      <c r="T676" s="38"/>
      <c r="U676" s="38"/>
      <c r="V676" s="38"/>
    </row>
    <row r="677">
      <c r="A677" s="75">
        <v>46184.0</v>
      </c>
      <c r="B677" s="27" t="s">
        <v>621</v>
      </c>
      <c r="C677" s="27" t="s">
        <v>327</v>
      </c>
      <c r="D677" s="28" t="s">
        <v>328</v>
      </c>
      <c r="E677" s="27">
        <v>1.0</v>
      </c>
      <c r="F677" s="27" t="s">
        <v>1103</v>
      </c>
      <c r="G677" s="27" t="s">
        <v>1104</v>
      </c>
      <c r="H677" s="28">
        <v>4245.0</v>
      </c>
      <c r="I677" s="70" t="str">
        <f t="shared" si="25"/>
        <v>4245-GSB-SDS/1032220</v>
      </c>
      <c r="J677" s="109" t="s">
        <v>1102</v>
      </c>
      <c r="K677" s="27" t="s">
        <v>747</v>
      </c>
      <c r="L677" s="120">
        <v>46231.0</v>
      </c>
      <c r="M677" s="27" t="s">
        <v>1098</v>
      </c>
      <c r="N677" s="2">
        <v>2668.0</v>
      </c>
      <c r="O677" s="36" t="s">
        <v>1105</v>
      </c>
      <c r="P677" s="63">
        <v>46237.0</v>
      </c>
      <c r="Q677" s="38"/>
      <c r="R677" s="38"/>
      <c r="S677" s="38"/>
      <c r="T677" s="38"/>
      <c r="U677" s="38"/>
      <c r="V677" s="38"/>
    </row>
    <row r="678">
      <c r="A678" s="75">
        <v>46209.0</v>
      </c>
      <c r="B678" s="27" t="s">
        <v>438</v>
      </c>
      <c r="C678" s="27" t="s">
        <v>35</v>
      </c>
      <c r="D678" s="28" t="s">
        <v>41</v>
      </c>
      <c r="E678" s="27">
        <v>1.0</v>
      </c>
      <c r="F678" s="109" t="s">
        <v>35</v>
      </c>
      <c r="G678" s="27" t="s">
        <v>35</v>
      </c>
      <c r="H678" s="28">
        <v>10408.0</v>
      </c>
      <c r="I678" s="70" t="str">
        <f t="shared" si="25"/>
        <v>10408-GSB-N/A</v>
      </c>
      <c r="J678" s="31" t="s">
        <v>1106</v>
      </c>
      <c r="K678" s="27" t="s">
        <v>492</v>
      </c>
      <c r="L678" s="120">
        <v>46233.0</v>
      </c>
      <c r="M678" s="27" t="s">
        <v>1098</v>
      </c>
      <c r="N678" s="2">
        <v>3402.0</v>
      </c>
      <c r="O678" s="36" t="s">
        <v>1107</v>
      </c>
      <c r="P678" s="63">
        <v>46238.0</v>
      </c>
      <c r="Q678" s="38"/>
      <c r="R678" s="38"/>
      <c r="S678" s="38"/>
      <c r="T678" s="38"/>
      <c r="U678" s="38"/>
      <c r="V678" s="38"/>
    </row>
    <row r="679">
      <c r="A679" s="75">
        <v>46209.0</v>
      </c>
      <c r="B679" s="27" t="s">
        <v>438</v>
      </c>
      <c r="C679" s="27" t="s">
        <v>35</v>
      </c>
      <c r="D679" s="28" t="s">
        <v>41</v>
      </c>
      <c r="E679" s="27">
        <v>1.0</v>
      </c>
      <c r="F679" s="109" t="s">
        <v>35</v>
      </c>
      <c r="G679" s="27" t="s">
        <v>35</v>
      </c>
      <c r="H679" s="28">
        <v>10411.0</v>
      </c>
      <c r="I679" s="70" t="str">
        <f t="shared" si="25"/>
        <v>10411-GSB-N/A</v>
      </c>
      <c r="J679" s="31" t="s">
        <v>1106</v>
      </c>
      <c r="K679" s="27" t="s">
        <v>492</v>
      </c>
      <c r="L679" s="120">
        <v>46233.0</v>
      </c>
      <c r="M679" s="27" t="s">
        <v>1098</v>
      </c>
      <c r="N679" s="2">
        <v>3403.0</v>
      </c>
      <c r="O679" s="36" t="s">
        <v>1108</v>
      </c>
      <c r="P679" s="63">
        <v>46238.0</v>
      </c>
      <c r="Q679" s="38"/>
      <c r="R679" s="38"/>
      <c r="S679" s="38"/>
      <c r="T679" s="38"/>
      <c r="U679" s="38"/>
      <c r="V679" s="38"/>
    </row>
    <row r="680">
      <c r="A680" s="75">
        <v>46209.0</v>
      </c>
      <c r="B680" s="27" t="s">
        <v>438</v>
      </c>
      <c r="C680" s="27" t="s">
        <v>35</v>
      </c>
      <c r="D680" s="28" t="s">
        <v>41</v>
      </c>
      <c r="E680" s="27">
        <v>1.0</v>
      </c>
      <c r="F680" s="109" t="s">
        <v>35</v>
      </c>
      <c r="G680" s="27" t="s">
        <v>35</v>
      </c>
      <c r="H680" s="28">
        <v>10412.0</v>
      </c>
      <c r="I680" s="70" t="str">
        <f t="shared" si="25"/>
        <v>10412-GSB-N/A</v>
      </c>
      <c r="J680" s="31" t="s">
        <v>1106</v>
      </c>
      <c r="K680" s="27" t="s">
        <v>492</v>
      </c>
      <c r="L680" s="120">
        <v>46233.0</v>
      </c>
      <c r="M680" s="27" t="s">
        <v>1098</v>
      </c>
      <c r="N680" s="2">
        <v>3404.0</v>
      </c>
      <c r="O680" s="36" t="s">
        <v>1109</v>
      </c>
      <c r="P680" s="63">
        <v>46238.0</v>
      </c>
      <c r="Q680" s="38"/>
      <c r="R680" s="38"/>
      <c r="S680" s="38"/>
      <c r="T680" s="38"/>
      <c r="U680" s="38"/>
      <c r="V680" s="38"/>
    </row>
    <row r="681">
      <c r="A681" s="75">
        <v>46209.0</v>
      </c>
      <c r="B681" s="27" t="s">
        <v>438</v>
      </c>
      <c r="C681" s="27" t="s">
        <v>35</v>
      </c>
      <c r="D681" s="28" t="s">
        <v>41</v>
      </c>
      <c r="E681" s="27">
        <v>1.0</v>
      </c>
      <c r="F681" s="109" t="s">
        <v>35</v>
      </c>
      <c r="G681" s="27" t="s">
        <v>35</v>
      </c>
      <c r="H681" s="28">
        <v>10413.0</v>
      </c>
      <c r="I681" s="70" t="str">
        <f t="shared" si="25"/>
        <v>10413-GSB-N/A</v>
      </c>
      <c r="J681" s="31" t="s">
        <v>1106</v>
      </c>
      <c r="K681" s="27" t="s">
        <v>492</v>
      </c>
      <c r="L681" s="120">
        <v>46233.0</v>
      </c>
      <c r="M681" s="27" t="s">
        <v>1098</v>
      </c>
      <c r="N681" s="2">
        <v>3405.0</v>
      </c>
      <c r="O681" s="36" t="s">
        <v>1110</v>
      </c>
      <c r="P681" s="63">
        <v>46239.0</v>
      </c>
      <c r="Q681" s="38"/>
      <c r="R681" s="38"/>
      <c r="S681" s="38"/>
      <c r="T681" s="38"/>
      <c r="U681" s="38"/>
      <c r="V681" s="38"/>
    </row>
    <row r="682">
      <c r="A682" s="75">
        <v>46209.0</v>
      </c>
      <c r="B682" s="27" t="s">
        <v>438</v>
      </c>
      <c r="C682" s="27" t="s">
        <v>35</v>
      </c>
      <c r="D682" s="28" t="s">
        <v>41</v>
      </c>
      <c r="E682" s="27">
        <v>1.0</v>
      </c>
      <c r="F682" s="109" t="s">
        <v>35</v>
      </c>
      <c r="G682" s="27" t="s">
        <v>35</v>
      </c>
      <c r="H682" s="28">
        <v>10414.0</v>
      </c>
      <c r="I682" s="70" t="str">
        <f t="shared" si="25"/>
        <v>10414-GSB-N/A</v>
      </c>
      <c r="J682" s="31" t="s">
        <v>1106</v>
      </c>
      <c r="K682" s="27" t="s">
        <v>492</v>
      </c>
      <c r="L682" s="120">
        <v>46233.0</v>
      </c>
      <c r="M682" s="27" t="s">
        <v>1098</v>
      </c>
      <c r="N682" s="2">
        <v>3406.0</v>
      </c>
      <c r="O682" s="36" t="s">
        <v>1111</v>
      </c>
      <c r="P682" s="63">
        <v>46239.0</v>
      </c>
      <c r="Q682" s="38"/>
      <c r="R682" s="38"/>
      <c r="S682" s="38"/>
      <c r="T682" s="38"/>
      <c r="U682" s="38"/>
      <c r="V682" s="38"/>
    </row>
    <row r="683">
      <c r="A683" s="75">
        <v>46209.0</v>
      </c>
      <c r="B683" s="27" t="s">
        <v>438</v>
      </c>
      <c r="C683" s="27" t="s">
        <v>35</v>
      </c>
      <c r="D683" s="28" t="s">
        <v>41</v>
      </c>
      <c r="E683" s="27">
        <v>1.0</v>
      </c>
      <c r="F683" s="109" t="s">
        <v>35</v>
      </c>
      <c r="G683" s="27" t="s">
        <v>35</v>
      </c>
      <c r="H683" s="28">
        <v>10416.0</v>
      </c>
      <c r="I683" s="70" t="str">
        <f t="shared" si="25"/>
        <v>10416-GSB-N/A</v>
      </c>
      <c r="J683" s="31" t="s">
        <v>1106</v>
      </c>
      <c r="K683" s="27" t="s">
        <v>492</v>
      </c>
      <c r="L683" s="120">
        <v>46233.0</v>
      </c>
      <c r="M683" s="27" t="s">
        <v>1098</v>
      </c>
      <c r="N683" s="2">
        <v>3407.0</v>
      </c>
      <c r="O683" s="36" t="s">
        <v>1112</v>
      </c>
      <c r="P683" s="63">
        <v>46239.0</v>
      </c>
      <c r="Q683" s="38"/>
      <c r="R683" s="38"/>
      <c r="S683" s="38"/>
      <c r="T683" s="38"/>
      <c r="U683" s="38"/>
      <c r="V683" s="38"/>
    </row>
    <row r="684">
      <c r="A684" s="23">
        <v>45897.0</v>
      </c>
      <c r="B684" s="25">
        <v>2.093501849E9</v>
      </c>
      <c r="C684" s="25" t="s">
        <v>108</v>
      </c>
      <c r="D684" s="70" t="s">
        <v>43</v>
      </c>
      <c r="E684" s="25">
        <v>1.0</v>
      </c>
      <c r="F684" s="109" t="s">
        <v>35</v>
      </c>
      <c r="G684" s="25">
        <v>2.503381019E9</v>
      </c>
      <c r="H684" s="70">
        <v>7441.0</v>
      </c>
      <c r="I684" s="70" t="str">
        <f t="shared" si="25"/>
        <v>7441-GSB-N/A</v>
      </c>
      <c r="J684" s="31" t="s">
        <v>1106</v>
      </c>
      <c r="K684" s="25" t="s">
        <v>492</v>
      </c>
      <c r="L684" s="104">
        <v>46233.0</v>
      </c>
      <c r="M684" s="27" t="s">
        <v>1098</v>
      </c>
      <c r="N684" s="2">
        <v>3402.0</v>
      </c>
      <c r="O684" s="36" t="s">
        <v>1107</v>
      </c>
      <c r="P684" s="63">
        <v>46238.0</v>
      </c>
      <c r="Q684" s="38"/>
      <c r="R684" s="38"/>
      <c r="S684" s="38"/>
      <c r="T684" s="38"/>
      <c r="U684" s="38"/>
      <c r="V684" s="38"/>
    </row>
    <row r="685">
      <c r="A685" s="23">
        <v>45897.0</v>
      </c>
      <c r="B685" s="25">
        <v>2.093501849E9</v>
      </c>
      <c r="C685" s="25" t="s">
        <v>108</v>
      </c>
      <c r="D685" s="70" t="s">
        <v>43</v>
      </c>
      <c r="E685" s="25">
        <v>1.0</v>
      </c>
      <c r="F685" s="109" t="s">
        <v>35</v>
      </c>
      <c r="G685" s="25">
        <v>2.503380898E9</v>
      </c>
      <c r="H685" s="70">
        <v>7474.0</v>
      </c>
      <c r="I685" s="70" t="str">
        <f t="shared" si="25"/>
        <v>7474-GSB-N/A</v>
      </c>
      <c r="J685" s="31" t="s">
        <v>1106</v>
      </c>
      <c r="K685" s="25" t="s">
        <v>492</v>
      </c>
      <c r="L685" s="104">
        <v>46233.0</v>
      </c>
      <c r="M685" s="27" t="s">
        <v>1098</v>
      </c>
      <c r="N685" s="2">
        <v>3403.0</v>
      </c>
      <c r="O685" s="36" t="s">
        <v>1108</v>
      </c>
      <c r="P685" s="63">
        <v>46238.0</v>
      </c>
      <c r="Q685" s="38"/>
      <c r="R685" s="38"/>
      <c r="S685" s="38"/>
      <c r="T685" s="38"/>
      <c r="U685" s="38"/>
      <c r="V685" s="38"/>
    </row>
    <row r="686">
      <c r="A686" s="23">
        <v>45897.0</v>
      </c>
      <c r="B686" s="25">
        <v>2.093501849E9</v>
      </c>
      <c r="C686" s="25" t="s">
        <v>108</v>
      </c>
      <c r="D686" s="70" t="s">
        <v>43</v>
      </c>
      <c r="E686" s="25">
        <v>1.0</v>
      </c>
      <c r="F686" s="109" t="s">
        <v>35</v>
      </c>
      <c r="G686" s="25">
        <v>2.503380863E9</v>
      </c>
      <c r="H686" s="70">
        <v>7482.0</v>
      </c>
      <c r="I686" s="70" t="str">
        <f t="shared" si="25"/>
        <v>7482-GSB-N/A</v>
      </c>
      <c r="J686" s="31" t="s">
        <v>1106</v>
      </c>
      <c r="K686" s="25" t="s">
        <v>492</v>
      </c>
      <c r="L686" s="104">
        <v>46233.0</v>
      </c>
      <c r="M686" s="27" t="s">
        <v>1098</v>
      </c>
      <c r="N686" s="2">
        <v>3404.0</v>
      </c>
      <c r="O686" s="36" t="s">
        <v>1109</v>
      </c>
      <c r="P686" s="63">
        <v>46238.0</v>
      </c>
      <c r="Q686" s="38"/>
      <c r="R686" s="38"/>
      <c r="S686" s="38"/>
      <c r="T686" s="38"/>
      <c r="U686" s="38"/>
      <c r="V686" s="38"/>
    </row>
    <row r="687">
      <c r="A687" s="23">
        <v>45897.0</v>
      </c>
      <c r="B687" s="25">
        <v>2.093501849E9</v>
      </c>
      <c r="C687" s="25" t="s">
        <v>108</v>
      </c>
      <c r="D687" s="70" t="s">
        <v>43</v>
      </c>
      <c r="E687" s="25">
        <v>1.0</v>
      </c>
      <c r="F687" s="109" t="s">
        <v>35</v>
      </c>
      <c r="G687" s="25">
        <v>2.503380693E9</v>
      </c>
      <c r="H687" s="70">
        <v>7497.0</v>
      </c>
      <c r="I687" s="70" t="str">
        <f t="shared" si="25"/>
        <v>7497-GSB-N/A</v>
      </c>
      <c r="J687" s="31" t="s">
        <v>1106</v>
      </c>
      <c r="K687" s="25" t="s">
        <v>492</v>
      </c>
      <c r="L687" s="104">
        <v>46233.0</v>
      </c>
      <c r="M687" s="27" t="s">
        <v>1098</v>
      </c>
      <c r="N687" s="2">
        <v>3405.0</v>
      </c>
      <c r="O687" s="36" t="s">
        <v>1110</v>
      </c>
      <c r="P687" s="63">
        <v>46239.0</v>
      </c>
      <c r="Q687" s="38"/>
      <c r="R687" s="38"/>
      <c r="S687" s="38"/>
      <c r="T687" s="38"/>
      <c r="U687" s="38"/>
      <c r="V687" s="38"/>
    </row>
    <row r="688">
      <c r="A688" s="23">
        <v>45897.0</v>
      </c>
      <c r="B688" s="25">
        <v>2.093501849E9</v>
      </c>
      <c r="C688" s="25" t="s">
        <v>108</v>
      </c>
      <c r="D688" s="70" t="s">
        <v>43</v>
      </c>
      <c r="E688" s="25">
        <v>1.0</v>
      </c>
      <c r="F688" s="109" t="s">
        <v>35</v>
      </c>
      <c r="G688" s="25">
        <v>2.503380636E9</v>
      </c>
      <c r="H688" s="70">
        <v>7445.0</v>
      </c>
      <c r="I688" s="70" t="str">
        <f t="shared" si="25"/>
        <v>7445-GSB-N/A</v>
      </c>
      <c r="J688" s="31" t="s">
        <v>1106</v>
      </c>
      <c r="K688" s="25" t="s">
        <v>492</v>
      </c>
      <c r="L688" s="104">
        <v>46233.0</v>
      </c>
      <c r="M688" s="27" t="s">
        <v>1098</v>
      </c>
      <c r="N688" s="2">
        <v>3406.0</v>
      </c>
      <c r="O688" s="36" t="s">
        <v>1111</v>
      </c>
      <c r="P688" s="63">
        <v>46239.0</v>
      </c>
      <c r="Q688" s="38"/>
      <c r="R688" s="38"/>
      <c r="S688" s="38"/>
      <c r="T688" s="38"/>
      <c r="U688" s="38"/>
      <c r="V688" s="38"/>
    </row>
    <row r="689">
      <c r="A689" s="23">
        <v>45897.0</v>
      </c>
      <c r="B689" s="25">
        <v>2.093501849E9</v>
      </c>
      <c r="C689" s="25" t="s">
        <v>108</v>
      </c>
      <c r="D689" s="70" t="s">
        <v>43</v>
      </c>
      <c r="E689" s="25">
        <v>1.0</v>
      </c>
      <c r="F689" s="109" t="s">
        <v>35</v>
      </c>
      <c r="G689" s="25">
        <v>2.503380505E9</v>
      </c>
      <c r="H689" s="70">
        <v>7420.0</v>
      </c>
      <c r="I689" s="70" t="str">
        <f t="shared" si="25"/>
        <v>7420-GSB-N/A</v>
      </c>
      <c r="J689" s="31" t="s">
        <v>1106</v>
      </c>
      <c r="K689" s="25" t="s">
        <v>492</v>
      </c>
      <c r="L689" s="104">
        <v>46233.0</v>
      </c>
      <c r="M689" s="27" t="s">
        <v>1098</v>
      </c>
      <c r="N689" s="2">
        <v>3407.0</v>
      </c>
      <c r="O689" s="36" t="s">
        <v>1112</v>
      </c>
      <c r="P689" s="63">
        <v>46239.0</v>
      </c>
      <c r="Q689" s="38"/>
      <c r="R689" s="38"/>
      <c r="S689" s="38"/>
      <c r="T689" s="38"/>
      <c r="U689" s="38"/>
      <c r="V689" s="38"/>
    </row>
    <row r="690">
      <c r="A690" s="23">
        <v>45530.60907740741</v>
      </c>
      <c r="B690" s="25">
        <v>44430.0</v>
      </c>
      <c r="C690" s="25" t="s">
        <v>257</v>
      </c>
      <c r="D690" s="70" t="s">
        <v>57</v>
      </c>
      <c r="E690" s="25">
        <v>1.0</v>
      </c>
      <c r="F690" s="109" t="s">
        <v>35</v>
      </c>
      <c r="G690" s="109" t="s">
        <v>35</v>
      </c>
      <c r="H690" s="70">
        <v>8511.0</v>
      </c>
      <c r="I690" s="70" t="str">
        <f t="shared" si="25"/>
        <v>8511-GSB-N/A</v>
      </c>
      <c r="J690" s="31" t="s">
        <v>1106</v>
      </c>
      <c r="K690" s="25" t="s">
        <v>492</v>
      </c>
      <c r="L690" s="104">
        <v>46233.0</v>
      </c>
      <c r="M690" s="27" t="s">
        <v>1098</v>
      </c>
      <c r="N690" s="2">
        <v>3402.0</v>
      </c>
      <c r="O690" s="36" t="s">
        <v>1107</v>
      </c>
      <c r="P690" s="63">
        <v>46238.0</v>
      </c>
      <c r="Q690" s="38"/>
      <c r="R690" s="38"/>
      <c r="S690" s="38"/>
      <c r="T690" s="38"/>
      <c r="U690" s="38"/>
      <c r="V690" s="38"/>
    </row>
    <row r="691">
      <c r="A691" s="23">
        <v>45530.60907740741</v>
      </c>
      <c r="B691" s="123">
        <v>46195.63574371528</v>
      </c>
      <c r="C691" s="25" t="s">
        <v>257</v>
      </c>
      <c r="D691" s="70" t="s">
        <v>57</v>
      </c>
      <c r="E691" s="25">
        <v>1.0</v>
      </c>
      <c r="F691" s="109" t="s">
        <v>35</v>
      </c>
      <c r="G691" s="109" t="s">
        <v>35</v>
      </c>
      <c r="H691" s="70">
        <v>8484.0</v>
      </c>
      <c r="I691" s="70" t="str">
        <f t="shared" si="25"/>
        <v>8484-GSB-N/A</v>
      </c>
      <c r="J691" s="31" t="s">
        <v>1106</v>
      </c>
      <c r="K691" s="25" t="s">
        <v>492</v>
      </c>
      <c r="L691" s="104">
        <v>46233.0</v>
      </c>
      <c r="M691" s="27" t="s">
        <v>1098</v>
      </c>
      <c r="N691" s="2">
        <v>3403.0</v>
      </c>
      <c r="O691" s="36" t="s">
        <v>1108</v>
      </c>
      <c r="P691" s="63">
        <v>46238.0</v>
      </c>
      <c r="Q691" s="38"/>
      <c r="R691" s="38"/>
      <c r="S691" s="38"/>
      <c r="T691" s="38"/>
      <c r="U691" s="38"/>
      <c r="V691" s="38"/>
    </row>
    <row r="692">
      <c r="A692" s="23">
        <v>45530.60907740741</v>
      </c>
      <c r="B692" s="123">
        <v>46195.637205046296</v>
      </c>
      <c r="C692" s="25" t="s">
        <v>257</v>
      </c>
      <c r="D692" s="70" t="s">
        <v>57</v>
      </c>
      <c r="E692" s="25">
        <v>1.0</v>
      </c>
      <c r="F692" s="109" t="s">
        <v>35</v>
      </c>
      <c r="G692" s="109" t="s">
        <v>35</v>
      </c>
      <c r="H692" s="70">
        <v>8566.0</v>
      </c>
      <c r="I692" s="70" t="str">
        <f t="shared" si="25"/>
        <v>8566-GSB-N/A</v>
      </c>
      <c r="J692" s="31" t="s">
        <v>1106</v>
      </c>
      <c r="K692" s="25" t="s">
        <v>492</v>
      </c>
      <c r="L692" s="104">
        <v>46233.0</v>
      </c>
      <c r="M692" s="27" t="s">
        <v>1098</v>
      </c>
      <c r="N692" s="2">
        <v>3404.0</v>
      </c>
      <c r="O692" s="36" t="s">
        <v>1109</v>
      </c>
      <c r="P692" s="63">
        <v>46238.0</v>
      </c>
      <c r="Q692" s="38"/>
      <c r="R692" s="38"/>
      <c r="S692" s="38"/>
      <c r="T692" s="38"/>
      <c r="U692" s="38"/>
      <c r="V692" s="38"/>
    </row>
    <row r="693">
      <c r="A693" s="23">
        <v>45530.60907740741</v>
      </c>
      <c r="B693" s="25">
        <v>44430.0</v>
      </c>
      <c r="C693" s="25" t="s">
        <v>257</v>
      </c>
      <c r="D693" s="70" t="s">
        <v>57</v>
      </c>
      <c r="E693" s="25">
        <v>1.0</v>
      </c>
      <c r="F693" s="109" t="s">
        <v>35</v>
      </c>
      <c r="G693" s="109" t="s">
        <v>35</v>
      </c>
      <c r="H693" s="70">
        <v>8540.0</v>
      </c>
      <c r="I693" s="70" t="str">
        <f t="shared" si="25"/>
        <v>8540-GSB-N/A</v>
      </c>
      <c r="J693" s="31" t="s">
        <v>1106</v>
      </c>
      <c r="K693" s="25" t="s">
        <v>492</v>
      </c>
      <c r="L693" s="104">
        <v>46233.0</v>
      </c>
      <c r="M693" s="27" t="s">
        <v>1098</v>
      </c>
      <c r="N693" s="2">
        <v>3405.0</v>
      </c>
      <c r="O693" s="36" t="s">
        <v>1110</v>
      </c>
      <c r="P693" s="63">
        <v>46239.0</v>
      </c>
      <c r="Q693" s="38"/>
      <c r="R693" s="38"/>
      <c r="S693" s="38"/>
      <c r="T693" s="38"/>
      <c r="U693" s="38"/>
      <c r="V693" s="38"/>
    </row>
    <row r="694">
      <c r="A694" s="23">
        <v>45530.60907740741</v>
      </c>
      <c r="B694" s="123">
        <v>46195.63762822917</v>
      </c>
      <c r="C694" s="25" t="s">
        <v>257</v>
      </c>
      <c r="D694" s="70" t="s">
        <v>57</v>
      </c>
      <c r="E694" s="25">
        <v>1.0</v>
      </c>
      <c r="F694" s="109" t="s">
        <v>35</v>
      </c>
      <c r="G694" s="109" t="s">
        <v>35</v>
      </c>
      <c r="H694" s="70">
        <v>8507.0</v>
      </c>
      <c r="I694" s="70" t="str">
        <f t="shared" si="25"/>
        <v>8507-GSB-N/A</v>
      </c>
      <c r="J694" s="31" t="s">
        <v>1106</v>
      </c>
      <c r="K694" s="25" t="s">
        <v>492</v>
      </c>
      <c r="L694" s="104">
        <v>46233.0</v>
      </c>
      <c r="M694" s="27" t="s">
        <v>1098</v>
      </c>
      <c r="N694" s="2">
        <v>3406.0</v>
      </c>
      <c r="O694" s="36" t="s">
        <v>1111</v>
      </c>
      <c r="P694" s="63">
        <v>46239.0</v>
      </c>
      <c r="Q694" s="38"/>
      <c r="R694" s="38"/>
      <c r="S694" s="38"/>
      <c r="T694" s="38"/>
      <c r="U694" s="38"/>
      <c r="V694" s="38"/>
    </row>
    <row r="695">
      <c r="A695" s="23">
        <v>45530.60907740741</v>
      </c>
      <c r="B695" s="25">
        <v>44430.0</v>
      </c>
      <c r="C695" s="25" t="s">
        <v>257</v>
      </c>
      <c r="D695" s="70" t="s">
        <v>57</v>
      </c>
      <c r="E695" s="25">
        <v>1.0</v>
      </c>
      <c r="F695" s="109" t="s">
        <v>35</v>
      </c>
      <c r="G695" s="109" t="s">
        <v>35</v>
      </c>
      <c r="H695" s="70">
        <v>8502.0</v>
      </c>
      <c r="I695" s="70" t="str">
        <f t="shared" si="25"/>
        <v>8502-GSB-N/A</v>
      </c>
      <c r="J695" s="31" t="s">
        <v>1106</v>
      </c>
      <c r="K695" s="25" t="s">
        <v>492</v>
      </c>
      <c r="L695" s="104">
        <v>46233.0</v>
      </c>
      <c r="M695" s="27" t="s">
        <v>1098</v>
      </c>
      <c r="N695" s="2">
        <v>3407.0</v>
      </c>
      <c r="O695" s="36" t="s">
        <v>1112</v>
      </c>
      <c r="P695" s="63">
        <v>46239.0</v>
      </c>
      <c r="Q695" s="38"/>
      <c r="R695" s="38"/>
      <c r="S695" s="38"/>
      <c r="T695" s="38"/>
      <c r="U695" s="38"/>
      <c r="V695" s="38"/>
    </row>
    <row r="696">
      <c r="A696" s="75">
        <v>46232.0</v>
      </c>
      <c r="B696" s="27" t="s">
        <v>1113</v>
      </c>
      <c r="C696" s="27" t="s">
        <v>35</v>
      </c>
      <c r="D696" s="28" t="s">
        <v>31</v>
      </c>
      <c r="E696" s="27">
        <v>1.0</v>
      </c>
      <c r="F696" s="109" t="s">
        <v>35</v>
      </c>
      <c r="G696" s="27" t="s">
        <v>35</v>
      </c>
      <c r="H696" s="28">
        <v>10446.0</v>
      </c>
      <c r="I696" s="70" t="str">
        <f t="shared" si="25"/>
        <v>10446-GSB-N/A</v>
      </c>
      <c r="J696" s="31" t="s">
        <v>917</v>
      </c>
      <c r="K696" s="27" t="s">
        <v>325</v>
      </c>
      <c r="L696" s="120">
        <v>46233.0</v>
      </c>
      <c r="M696" s="27" t="s">
        <v>1098</v>
      </c>
      <c r="N696" s="2">
        <v>3086.0</v>
      </c>
      <c r="O696" s="36" t="s">
        <v>917</v>
      </c>
      <c r="P696" s="63">
        <v>46233.0</v>
      </c>
      <c r="Q696" s="38"/>
      <c r="R696" s="38"/>
      <c r="S696" s="38"/>
      <c r="T696" s="38"/>
      <c r="U696" s="38"/>
      <c r="V696" s="38"/>
    </row>
    <row r="697">
      <c r="A697" s="75">
        <v>46232.0</v>
      </c>
      <c r="B697" s="27" t="s">
        <v>1113</v>
      </c>
      <c r="C697" s="27" t="s">
        <v>35</v>
      </c>
      <c r="D697" s="28" t="s">
        <v>31</v>
      </c>
      <c r="E697" s="27">
        <v>1.0</v>
      </c>
      <c r="F697" s="109" t="s">
        <v>35</v>
      </c>
      <c r="G697" s="27" t="s">
        <v>35</v>
      </c>
      <c r="H697" s="28">
        <v>10447.0</v>
      </c>
      <c r="I697" s="70" t="str">
        <f t="shared" si="25"/>
        <v>10447-GSB-N/A</v>
      </c>
      <c r="J697" s="31" t="s">
        <v>917</v>
      </c>
      <c r="K697" s="27" t="s">
        <v>325</v>
      </c>
      <c r="L697" s="120">
        <v>46233.0</v>
      </c>
      <c r="M697" s="27" t="s">
        <v>1098</v>
      </c>
      <c r="N697" s="2">
        <v>3086.0</v>
      </c>
      <c r="O697" s="36" t="s">
        <v>917</v>
      </c>
      <c r="P697" s="63">
        <v>46233.0</v>
      </c>
      <c r="Q697" s="38"/>
      <c r="R697" s="38"/>
      <c r="S697" s="38"/>
      <c r="T697" s="38"/>
      <c r="U697" s="38"/>
      <c r="V697" s="38"/>
    </row>
    <row r="698">
      <c r="A698" s="75">
        <v>46233.0</v>
      </c>
      <c r="B698" s="27" t="s">
        <v>1114</v>
      </c>
      <c r="C698" s="25" t="s">
        <v>362</v>
      </c>
      <c r="D698" s="28" t="s">
        <v>56</v>
      </c>
      <c r="E698" s="27">
        <v>1.0</v>
      </c>
      <c r="F698" s="109" t="s">
        <v>35</v>
      </c>
      <c r="G698" s="109" t="s">
        <v>35</v>
      </c>
      <c r="H698" s="28">
        <v>10448.0</v>
      </c>
      <c r="I698" s="70" t="str">
        <f t="shared" si="25"/>
        <v>10448-GSB-N/A</v>
      </c>
      <c r="J698" s="31" t="s">
        <v>1115</v>
      </c>
      <c r="K698" s="27" t="s">
        <v>453</v>
      </c>
      <c r="L698" s="120">
        <v>46237.0</v>
      </c>
      <c r="M698" s="27" t="s">
        <v>1098</v>
      </c>
      <c r="N698" s="2"/>
      <c r="O698" s="51"/>
      <c r="P698" s="93"/>
      <c r="Q698" s="38"/>
      <c r="R698" s="38"/>
      <c r="S698" s="38"/>
      <c r="T698" s="38"/>
      <c r="U698" s="38"/>
      <c r="V698" s="38"/>
    </row>
    <row r="699">
      <c r="A699" s="75">
        <v>46209.0</v>
      </c>
      <c r="B699" s="27" t="s">
        <v>438</v>
      </c>
      <c r="C699" s="27" t="s">
        <v>35</v>
      </c>
      <c r="D699" s="28" t="s">
        <v>31</v>
      </c>
      <c r="E699" s="27">
        <v>1.0</v>
      </c>
      <c r="F699" s="109" t="s">
        <v>35</v>
      </c>
      <c r="G699" s="27" t="s">
        <v>35</v>
      </c>
      <c r="H699" s="28">
        <v>10390.0</v>
      </c>
      <c r="I699" s="70" t="str">
        <f t="shared" si="25"/>
        <v>10390-GSB-N/A</v>
      </c>
      <c r="J699" s="31" t="s">
        <v>151</v>
      </c>
      <c r="K699" s="27" t="s">
        <v>55</v>
      </c>
      <c r="L699" s="120">
        <v>46237.0</v>
      </c>
      <c r="M699" s="27" t="s">
        <v>60</v>
      </c>
      <c r="N699" s="2">
        <v>3376.0</v>
      </c>
      <c r="O699" s="36" t="s">
        <v>1116</v>
      </c>
      <c r="P699" s="63">
        <v>46256.0</v>
      </c>
      <c r="Q699" s="38"/>
      <c r="R699" s="38"/>
      <c r="S699" s="38"/>
      <c r="T699" s="38"/>
      <c r="U699" s="38"/>
      <c r="V699" s="38"/>
    </row>
    <row r="700">
      <c r="A700" s="75">
        <v>46184.0</v>
      </c>
      <c r="B700" s="27" t="s">
        <v>621</v>
      </c>
      <c r="C700" s="27" t="s">
        <v>617</v>
      </c>
      <c r="D700" s="28" t="s">
        <v>8</v>
      </c>
      <c r="E700" s="27">
        <v>1.0</v>
      </c>
      <c r="F700" s="27" t="s">
        <v>1117</v>
      </c>
      <c r="G700" s="109" t="s">
        <v>35</v>
      </c>
      <c r="H700" s="28">
        <v>10357.0</v>
      </c>
      <c r="I700" s="70" t="str">
        <f t="shared" si="25"/>
        <v>10357-GSB-SDS/1043481</v>
      </c>
      <c r="J700" s="31" t="s">
        <v>151</v>
      </c>
      <c r="K700" s="27" t="s">
        <v>55</v>
      </c>
      <c r="L700" s="120">
        <v>46237.0</v>
      </c>
      <c r="M700" s="27" t="s">
        <v>60</v>
      </c>
      <c r="N700" s="2">
        <v>3376.0</v>
      </c>
      <c r="O700" s="36" t="s">
        <v>1116</v>
      </c>
      <c r="P700" s="63">
        <v>46256.0</v>
      </c>
      <c r="Q700" s="38"/>
      <c r="R700" s="38"/>
      <c r="S700" s="38"/>
      <c r="T700" s="38"/>
      <c r="U700" s="38"/>
      <c r="V700" s="38"/>
    </row>
    <row r="701">
      <c r="A701" s="75">
        <v>46184.0</v>
      </c>
      <c r="B701" s="27" t="s">
        <v>621</v>
      </c>
      <c r="C701" s="27" t="s">
        <v>327</v>
      </c>
      <c r="D701" s="28" t="s">
        <v>328</v>
      </c>
      <c r="E701" s="27">
        <v>1.0</v>
      </c>
      <c r="F701" s="27" t="s">
        <v>1118</v>
      </c>
      <c r="G701" s="27" t="s">
        <v>1119</v>
      </c>
      <c r="H701" s="92">
        <v>5476.0</v>
      </c>
      <c r="I701" s="30" t="str">
        <f t="shared" si="25"/>
        <v>5476-GSB-SDS/1033055</v>
      </c>
      <c r="J701" s="31" t="s">
        <v>151</v>
      </c>
      <c r="K701" s="27" t="s">
        <v>55</v>
      </c>
      <c r="L701" s="120">
        <v>46237.0</v>
      </c>
      <c r="M701" s="27" t="s">
        <v>60</v>
      </c>
      <c r="N701" s="2">
        <v>3387.0</v>
      </c>
      <c r="O701" s="36" t="s">
        <v>1120</v>
      </c>
      <c r="P701" s="63">
        <v>46269.0</v>
      </c>
      <c r="Q701" s="38"/>
      <c r="R701" s="38"/>
      <c r="S701" s="38"/>
      <c r="T701" s="38"/>
      <c r="U701" s="38"/>
      <c r="V701" s="38"/>
    </row>
    <row r="702">
      <c r="A702" s="27" t="s">
        <v>654</v>
      </c>
      <c r="B702" s="27" t="s">
        <v>655</v>
      </c>
      <c r="C702" s="27" t="s">
        <v>129</v>
      </c>
      <c r="D702" s="28" t="s">
        <v>61</v>
      </c>
      <c r="E702" s="27">
        <v>1.0</v>
      </c>
      <c r="F702" s="27" t="s">
        <v>1121</v>
      </c>
      <c r="G702" s="109" t="s">
        <v>35</v>
      </c>
      <c r="H702" s="125">
        <v>10294.0</v>
      </c>
      <c r="I702" s="30" t="str">
        <f t="shared" si="25"/>
        <v>10294-GSB-SDS/1043538</v>
      </c>
      <c r="J702" s="31" t="s">
        <v>151</v>
      </c>
      <c r="K702" s="27" t="s">
        <v>55</v>
      </c>
      <c r="L702" s="120">
        <v>46237.0</v>
      </c>
      <c r="M702" s="27" t="s">
        <v>60</v>
      </c>
      <c r="N702" s="2"/>
      <c r="O702" s="51"/>
      <c r="P702" s="93"/>
      <c r="Q702" s="38"/>
      <c r="R702" s="38"/>
      <c r="S702" s="38"/>
      <c r="T702" s="38"/>
      <c r="U702" s="38"/>
      <c r="V702" s="38"/>
    </row>
    <row r="703">
      <c r="A703" s="75">
        <v>46184.0</v>
      </c>
      <c r="B703" s="27">
        <v>59889.0</v>
      </c>
      <c r="C703" s="27">
        <v>4.998114565E9</v>
      </c>
      <c r="D703" s="28" t="s">
        <v>2</v>
      </c>
      <c r="E703" s="27">
        <v>1.0</v>
      </c>
      <c r="F703" s="27" t="s">
        <v>1122</v>
      </c>
      <c r="G703" s="109" t="s">
        <v>35</v>
      </c>
      <c r="H703" s="125">
        <v>10332.0</v>
      </c>
      <c r="I703" s="70" t="str">
        <f t="shared" si="25"/>
        <v>10332-GSB-SDS-1043626</v>
      </c>
      <c r="J703" s="31" t="s">
        <v>151</v>
      </c>
      <c r="K703" s="31" t="s">
        <v>55</v>
      </c>
      <c r="L703" s="120">
        <v>46237.0</v>
      </c>
      <c r="M703" s="27" t="s">
        <v>60</v>
      </c>
      <c r="N703" s="2"/>
      <c r="O703" s="51"/>
      <c r="P703" s="93"/>
      <c r="Q703" s="38"/>
      <c r="R703" s="38"/>
      <c r="S703" s="38"/>
      <c r="T703" s="38"/>
      <c r="U703" s="38"/>
      <c r="V703" s="38"/>
    </row>
    <row r="704">
      <c r="A704" s="23">
        <v>45897.0</v>
      </c>
      <c r="B704" s="25">
        <v>2.093501849E9</v>
      </c>
      <c r="C704" s="27" t="s">
        <v>148</v>
      </c>
      <c r="D704" s="28" t="s">
        <v>4</v>
      </c>
      <c r="E704" s="27">
        <v>1.0</v>
      </c>
      <c r="F704" s="109" t="s">
        <v>35</v>
      </c>
      <c r="G704" s="27" t="s">
        <v>35</v>
      </c>
      <c r="H704" s="92">
        <v>6822.0</v>
      </c>
      <c r="I704" s="30" t="str">
        <f t="shared" ref="I704:I708" si="26">CONCATENATE(H704,"-","GSB","-",G704)</f>
        <v>6822-GSB-N/A</v>
      </c>
      <c r="J704" s="31" t="s">
        <v>151</v>
      </c>
      <c r="K704" s="31" t="s">
        <v>55</v>
      </c>
      <c r="L704" s="120">
        <v>46237.0</v>
      </c>
      <c r="M704" s="27" t="s">
        <v>60</v>
      </c>
      <c r="N704" s="2"/>
      <c r="O704" s="51"/>
      <c r="P704" s="93"/>
      <c r="Q704" s="38"/>
      <c r="R704" s="38"/>
      <c r="S704" s="38"/>
      <c r="T704" s="38"/>
      <c r="U704" s="38"/>
      <c r="V704" s="38"/>
    </row>
    <row r="705">
      <c r="A705" s="75">
        <v>46209.0</v>
      </c>
      <c r="B705" s="27" t="s">
        <v>438</v>
      </c>
      <c r="C705" s="27" t="s">
        <v>35</v>
      </c>
      <c r="D705" s="28" t="s">
        <v>31</v>
      </c>
      <c r="E705" s="27">
        <v>1.0</v>
      </c>
      <c r="F705" s="109" t="s">
        <v>35</v>
      </c>
      <c r="G705" s="27" t="s">
        <v>35</v>
      </c>
      <c r="H705" s="92">
        <v>10404.0</v>
      </c>
      <c r="I705" s="30" t="str">
        <f t="shared" si="26"/>
        <v>10404-GSB-N/A</v>
      </c>
      <c r="J705" s="31" t="s">
        <v>151</v>
      </c>
      <c r="K705" s="31" t="s">
        <v>55</v>
      </c>
      <c r="L705" s="120">
        <v>46237.0</v>
      </c>
      <c r="M705" s="27" t="s">
        <v>60</v>
      </c>
      <c r="N705" s="2">
        <v>3383.0</v>
      </c>
      <c r="O705" s="36" t="s">
        <v>1123</v>
      </c>
      <c r="P705" s="63">
        <v>46265.0</v>
      </c>
      <c r="Q705" s="38"/>
      <c r="R705" s="38"/>
      <c r="S705" s="38"/>
      <c r="T705" s="38"/>
      <c r="U705" s="38"/>
      <c r="V705" s="38"/>
    </row>
    <row r="706">
      <c r="A706" s="75">
        <v>46174.0</v>
      </c>
      <c r="B706" s="27" t="s">
        <v>1124</v>
      </c>
      <c r="C706" s="27">
        <v>4.998117557E9</v>
      </c>
      <c r="D706" s="28" t="s">
        <v>5</v>
      </c>
      <c r="E706" s="27">
        <v>1.0</v>
      </c>
      <c r="F706" s="27"/>
      <c r="G706" s="27" t="s">
        <v>1125</v>
      </c>
      <c r="H706" s="125">
        <v>5074.0</v>
      </c>
      <c r="I706" s="30" t="str">
        <f t="shared" si="26"/>
        <v>5074-GSB-092256847517520192</v>
      </c>
      <c r="J706" s="31" t="s">
        <v>151</v>
      </c>
      <c r="K706" s="31" t="s">
        <v>55</v>
      </c>
      <c r="L706" s="120">
        <v>46237.0</v>
      </c>
      <c r="M706" s="27" t="s">
        <v>60</v>
      </c>
      <c r="N706" s="2"/>
      <c r="O706" s="51"/>
      <c r="P706" s="93"/>
      <c r="Q706" s="38"/>
      <c r="R706" s="38"/>
      <c r="S706" s="38"/>
      <c r="T706" s="38"/>
      <c r="U706" s="38"/>
      <c r="V706" s="38"/>
    </row>
    <row r="707">
      <c r="A707" s="75">
        <v>46174.0</v>
      </c>
      <c r="B707" s="27" t="s">
        <v>1126</v>
      </c>
      <c r="C707" s="27">
        <v>4.998117557E9</v>
      </c>
      <c r="D707" s="28" t="s">
        <v>5</v>
      </c>
      <c r="E707" s="27">
        <v>1.0</v>
      </c>
      <c r="F707" s="27"/>
      <c r="G707" s="27" t="s">
        <v>1127</v>
      </c>
      <c r="H707" s="92">
        <v>5587.0</v>
      </c>
      <c r="I707" s="30" t="str">
        <f t="shared" si="26"/>
        <v>5587-GSB-092256847706150231</v>
      </c>
      <c r="J707" s="31" t="s">
        <v>151</v>
      </c>
      <c r="K707" s="31" t="s">
        <v>55</v>
      </c>
      <c r="L707" s="120">
        <v>46237.0</v>
      </c>
      <c r="M707" s="27" t="s">
        <v>60</v>
      </c>
      <c r="N707" s="2"/>
      <c r="O707" s="51"/>
      <c r="P707" s="93"/>
      <c r="Q707" s="38"/>
      <c r="R707" s="38"/>
      <c r="S707" s="38"/>
      <c r="T707" s="38"/>
      <c r="U707" s="38"/>
      <c r="V707" s="38"/>
    </row>
    <row r="708">
      <c r="A708" s="75">
        <v>46209.0</v>
      </c>
      <c r="B708" s="27" t="s">
        <v>438</v>
      </c>
      <c r="C708" s="27" t="s">
        <v>35</v>
      </c>
      <c r="D708" s="28" t="s">
        <v>36</v>
      </c>
      <c r="E708" s="27">
        <v>1.0</v>
      </c>
      <c r="F708" s="109" t="s">
        <v>35</v>
      </c>
      <c r="G708" s="27" t="s">
        <v>35</v>
      </c>
      <c r="H708" s="92" t="s">
        <v>35</v>
      </c>
      <c r="I708" s="30" t="str">
        <f t="shared" si="26"/>
        <v>N/A-GSB-N/A</v>
      </c>
      <c r="J708" s="31" t="s">
        <v>151</v>
      </c>
      <c r="K708" s="31" t="s">
        <v>55</v>
      </c>
      <c r="L708" s="120">
        <v>46237.0</v>
      </c>
      <c r="M708" s="27" t="s">
        <v>60</v>
      </c>
      <c r="N708" s="2"/>
      <c r="O708" s="51"/>
      <c r="P708" s="93"/>
      <c r="Q708" s="38"/>
      <c r="R708" s="38"/>
      <c r="S708" s="38"/>
      <c r="T708" s="38"/>
      <c r="U708" s="38"/>
      <c r="V708" s="38"/>
    </row>
    <row r="709">
      <c r="A709" s="75">
        <v>46209.0</v>
      </c>
      <c r="B709" s="27" t="s">
        <v>438</v>
      </c>
      <c r="C709" s="27" t="s">
        <v>35</v>
      </c>
      <c r="D709" s="28" t="s">
        <v>36</v>
      </c>
      <c r="E709" s="27">
        <v>1.0</v>
      </c>
      <c r="F709" s="109" t="s">
        <v>35</v>
      </c>
      <c r="G709" s="27" t="s">
        <v>35</v>
      </c>
      <c r="H709" s="28" t="s">
        <v>35</v>
      </c>
      <c r="I709" s="70" t="str">
        <f t="shared" ref="I709:I710" si="27">CONCATENATE(H709,"-","GSB","-",F709)</f>
        <v>N/A-GSB-N/A</v>
      </c>
      <c r="J709" s="31" t="s">
        <v>151</v>
      </c>
      <c r="K709" s="31" t="s">
        <v>55</v>
      </c>
      <c r="L709" s="120">
        <v>46237.0</v>
      </c>
      <c r="M709" s="27" t="s">
        <v>60</v>
      </c>
      <c r="N709" s="2"/>
      <c r="O709" s="51"/>
      <c r="P709" s="93"/>
      <c r="Q709" s="38"/>
      <c r="R709" s="38"/>
      <c r="S709" s="38"/>
      <c r="T709" s="38"/>
      <c r="U709" s="38"/>
      <c r="V709" s="38"/>
    </row>
    <row r="710">
      <c r="A710" s="75">
        <v>46209.0</v>
      </c>
      <c r="B710" s="27" t="s">
        <v>438</v>
      </c>
      <c r="C710" s="27" t="s">
        <v>35</v>
      </c>
      <c r="D710" s="28" t="s">
        <v>36</v>
      </c>
      <c r="E710" s="27">
        <v>1.0</v>
      </c>
      <c r="F710" s="109" t="s">
        <v>35</v>
      </c>
      <c r="G710" s="27" t="s">
        <v>35</v>
      </c>
      <c r="H710" s="28" t="s">
        <v>35</v>
      </c>
      <c r="I710" s="70" t="str">
        <f t="shared" si="27"/>
        <v>N/A-GSB-N/A</v>
      </c>
      <c r="J710" s="31" t="s">
        <v>151</v>
      </c>
      <c r="K710" s="31" t="s">
        <v>55</v>
      </c>
      <c r="L710" s="120">
        <v>46237.0</v>
      </c>
      <c r="M710" s="27" t="s">
        <v>60</v>
      </c>
      <c r="N710" s="2">
        <v>3384.0</v>
      </c>
      <c r="O710" s="36" t="s">
        <v>1128</v>
      </c>
      <c r="P710" s="63">
        <v>46266.0</v>
      </c>
      <c r="Q710" s="38"/>
      <c r="R710" s="38"/>
      <c r="S710" s="38"/>
      <c r="T710" s="38"/>
      <c r="U710" s="38"/>
      <c r="V710" s="38"/>
    </row>
    <row r="711">
      <c r="A711" s="23">
        <v>45897.0</v>
      </c>
      <c r="B711" s="25">
        <v>2.093501849E9</v>
      </c>
      <c r="C711" s="25" t="s">
        <v>108</v>
      </c>
      <c r="D711" s="70" t="s">
        <v>43</v>
      </c>
      <c r="E711" s="25">
        <v>1.0</v>
      </c>
      <c r="F711" s="109" t="s">
        <v>35</v>
      </c>
      <c r="G711" s="25">
        <v>2.503380861E9</v>
      </c>
      <c r="H711" s="105">
        <v>7478.0</v>
      </c>
      <c r="I711" s="30" t="str">
        <f t="shared" ref="I711:I714" si="28">CONCATENATE(H711,"-","GSB","-",G711)</f>
        <v>7478-GSB-2503380861</v>
      </c>
      <c r="J711" s="31" t="s">
        <v>151</v>
      </c>
      <c r="K711" s="31" t="s">
        <v>55</v>
      </c>
      <c r="L711" s="120">
        <v>46237.0</v>
      </c>
      <c r="M711" s="27" t="s">
        <v>60</v>
      </c>
      <c r="N711" s="2">
        <v>3384.0</v>
      </c>
      <c r="O711" s="36" t="s">
        <v>1128</v>
      </c>
      <c r="P711" s="63">
        <v>46266.0</v>
      </c>
      <c r="Q711" s="38"/>
      <c r="R711" s="38"/>
      <c r="S711" s="38"/>
      <c r="T711" s="38"/>
      <c r="U711" s="38"/>
      <c r="V711" s="38"/>
    </row>
    <row r="712">
      <c r="A712" s="75">
        <v>46087.0</v>
      </c>
      <c r="B712" s="27" t="s">
        <v>467</v>
      </c>
      <c r="C712" s="27">
        <v>6.76544009023E11</v>
      </c>
      <c r="D712" s="28" t="s">
        <v>47</v>
      </c>
      <c r="E712" s="27">
        <v>1.0</v>
      </c>
      <c r="F712" s="27"/>
      <c r="G712" s="27" t="s">
        <v>35</v>
      </c>
      <c r="H712" s="92">
        <v>10109.0</v>
      </c>
      <c r="I712" s="30" t="str">
        <f t="shared" si="28"/>
        <v>10109-GSB-N/A</v>
      </c>
      <c r="J712" s="31" t="s">
        <v>151</v>
      </c>
      <c r="K712" s="31" t="s">
        <v>55</v>
      </c>
      <c r="L712" s="120">
        <v>46237.0</v>
      </c>
      <c r="M712" s="27" t="s">
        <v>60</v>
      </c>
      <c r="N712" s="2"/>
      <c r="O712" s="51"/>
      <c r="P712" s="93"/>
      <c r="Q712" s="38"/>
      <c r="R712" s="38"/>
      <c r="S712" s="38"/>
      <c r="T712" s="38"/>
      <c r="U712" s="38"/>
      <c r="V712" s="38"/>
    </row>
    <row r="713">
      <c r="A713" s="75">
        <v>46182.0</v>
      </c>
      <c r="B713" s="27" t="s">
        <v>503</v>
      </c>
      <c r="C713" s="27" t="s">
        <v>581</v>
      </c>
      <c r="D713" s="28" t="s">
        <v>50</v>
      </c>
      <c r="E713" s="27">
        <v>1.0</v>
      </c>
      <c r="F713" s="109" t="s">
        <v>35</v>
      </c>
      <c r="G713" s="27" t="s">
        <v>1129</v>
      </c>
      <c r="H713" s="92">
        <v>10208.0</v>
      </c>
      <c r="I713" s="30" t="str">
        <f t="shared" si="28"/>
        <v>10208-GSB-042164263916100882</v>
      </c>
      <c r="J713" s="31" t="s">
        <v>151</v>
      </c>
      <c r="K713" s="31" t="s">
        <v>55</v>
      </c>
      <c r="L713" s="120">
        <v>46237.0</v>
      </c>
      <c r="M713" s="27" t="s">
        <v>60</v>
      </c>
      <c r="N713" s="2">
        <v>3380.0</v>
      </c>
      <c r="O713" s="36" t="s">
        <v>1130</v>
      </c>
      <c r="P713" s="63">
        <v>46261.0</v>
      </c>
      <c r="Q713" s="38"/>
      <c r="R713" s="38"/>
      <c r="S713" s="38"/>
      <c r="T713" s="38"/>
      <c r="U713" s="38"/>
      <c r="V713" s="38"/>
    </row>
    <row r="714">
      <c r="A714" s="75">
        <v>46182.0</v>
      </c>
      <c r="B714" s="27" t="s">
        <v>503</v>
      </c>
      <c r="C714" s="27" t="s">
        <v>581</v>
      </c>
      <c r="D714" s="28" t="s">
        <v>50</v>
      </c>
      <c r="E714" s="27">
        <v>1.0</v>
      </c>
      <c r="F714" s="109" t="s">
        <v>35</v>
      </c>
      <c r="G714" s="27" t="s">
        <v>1131</v>
      </c>
      <c r="H714" s="92">
        <v>10220.0</v>
      </c>
      <c r="I714" s="30" t="str">
        <f t="shared" si="28"/>
        <v>10220-GSB-042164257814100198</v>
      </c>
      <c r="J714" s="31" t="s">
        <v>151</v>
      </c>
      <c r="K714" s="31" t="s">
        <v>55</v>
      </c>
      <c r="L714" s="120">
        <v>46237.0</v>
      </c>
      <c r="M714" s="27" t="s">
        <v>60</v>
      </c>
      <c r="N714" s="2"/>
      <c r="O714" s="51"/>
      <c r="P714" s="93"/>
      <c r="Q714" s="38"/>
      <c r="R714" s="38"/>
      <c r="S714" s="38"/>
      <c r="T714" s="38"/>
      <c r="U714" s="38"/>
      <c r="V714" s="38"/>
    </row>
    <row r="715">
      <c r="A715" s="75">
        <v>46184.0</v>
      </c>
      <c r="B715" s="27" t="s">
        <v>621</v>
      </c>
      <c r="C715" s="27" t="s">
        <v>617</v>
      </c>
      <c r="D715" s="28" t="s">
        <v>8</v>
      </c>
      <c r="E715" s="27">
        <v>1.0</v>
      </c>
      <c r="F715" s="27" t="s">
        <v>1132</v>
      </c>
      <c r="G715" s="109" t="s">
        <v>35</v>
      </c>
      <c r="H715" s="92">
        <v>10362.0</v>
      </c>
      <c r="I715" s="30" t="str">
        <f>CONCATENATE(H715,"-","GSB","-",F715)</f>
        <v>10362-GSB-SDS/1043482</v>
      </c>
      <c r="J715" s="31" t="s">
        <v>151</v>
      </c>
      <c r="K715" s="31" t="s">
        <v>55</v>
      </c>
      <c r="L715" s="120">
        <v>46237.0</v>
      </c>
      <c r="M715" s="27" t="s">
        <v>60</v>
      </c>
      <c r="N715" s="2">
        <v>3395.0</v>
      </c>
      <c r="O715" s="36" t="s">
        <v>1133</v>
      </c>
      <c r="P715" s="63">
        <v>46279.0</v>
      </c>
      <c r="Q715" s="38"/>
      <c r="R715" s="38"/>
      <c r="S715" s="38"/>
      <c r="T715" s="38"/>
      <c r="U715" s="38"/>
      <c r="V715" s="38"/>
    </row>
    <row r="716">
      <c r="A716" s="23">
        <v>45530.60907740741</v>
      </c>
      <c r="B716" s="25">
        <v>44430.0</v>
      </c>
      <c r="C716" s="25" t="s">
        <v>257</v>
      </c>
      <c r="D716" s="70" t="s">
        <v>57</v>
      </c>
      <c r="E716" s="25">
        <v>1.0</v>
      </c>
      <c r="F716" s="109" t="s">
        <v>35</v>
      </c>
      <c r="G716" s="109" t="s">
        <v>35</v>
      </c>
      <c r="H716" s="105">
        <v>8560.0</v>
      </c>
      <c r="I716" s="122" t="s">
        <v>1134</v>
      </c>
      <c r="J716" s="31" t="s">
        <v>151</v>
      </c>
      <c r="K716" s="31" t="s">
        <v>55</v>
      </c>
      <c r="L716" s="120">
        <v>46237.0</v>
      </c>
      <c r="M716" s="27" t="s">
        <v>60</v>
      </c>
      <c r="N716" s="2"/>
      <c r="O716" s="51"/>
      <c r="P716" s="93"/>
      <c r="Q716" s="38"/>
      <c r="R716" s="38"/>
      <c r="S716" s="38"/>
      <c r="T716" s="38"/>
      <c r="U716" s="38"/>
      <c r="V716" s="38"/>
    </row>
    <row r="717">
      <c r="A717" s="75">
        <v>46184.0</v>
      </c>
      <c r="B717" s="27" t="s">
        <v>35</v>
      </c>
      <c r="C717" s="27" t="s">
        <v>35</v>
      </c>
      <c r="D717" s="28" t="s">
        <v>333</v>
      </c>
      <c r="E717" s="27">
        <v>1.0</v>
      </c>
      <c r="F717" s="109" t="s">
        <v>35</v>
      </c>
      <c r="G717" s="27" t="s">
        <v>35</v>
      </c>
      <c r="H717" s="92">
        <v>10250.0</v>
      </c>
      <c r="I717" s="30" t="str">
        <f t="shared" ref="I717:I719" si="29">CONCATENATE(H717,"-","GSB","-",G717)</f>
        <v>10250-GSB-N/A</v>
      </c>
      <c r="J717" s="31" t="s">
        <v>151</v>
      </c>
      <c r="K717" s="31" t="s">
        <v>55</v>
      </c>
      <c r="L717" s="120">
        <v>46237.0</v>
      </c>
      <c r="M717" s="27" t="s">
        <v>60</v>
      </c>
      <c r="N717" s="2"/>
      <c r="O717" s="51"/>
      <c r="P717" s="93"/>
      <c r="Q717" s="38"/>
      <c r="R717" s="38"/>
      <c r="S717" s="38"/>
      <c r="T717" s="38"/>
      <c r="U717" s="38"/>
      <c r="V717" s="38"/>
    </row>
    <row r="718">
      <c r="A718" s="75">
        <v>46085.0</v>
      </c>
      <c r="B718" s="27" t="s">
        <v>345</v>
      </c>
      <c r="C718" s="27">
        <v>8.86618177071E11</v>
      </c>
      <c r="D718" s="28" t="s">
        <v>67</v>
      </c>
      <c r="E718" s="27">
        <v>1.0</v>
      </c>
      <c r="F718" s="109" t="s">
        <v>35</v>
      </c>
      <c r="G718" s="27" t="s">
        <v>35</v>
      </c>
      <c r="H718" s="92">
        <v>10088.0</v>
      </c>
      <c r="I718" s="30" t="str">
        <f t="shared" si="29"/>
        <v>10088-GSB-N/A</v>
      </c>
      <c r="J718" s="31" t="s">
        <v>151</v>
      </c>
      <c r="K718" s="31" t="s">
        <v>55</v>
      </c>
      <c r="L718" s="120">
        <v>46237.0</v>
      </c>
      <c r="M718" s="27" t="s">
        <v>60</v>
      </c>
      <c r="N718" s="2">
        <v>3376.0</v>
      </c>
      <c r="O718" s="36" t="s">
        <v>1116</v>
      </c>
      <c r="P718" s="63">
        <v>46256.0</v>
      </c>
      <c r="Q718" s="38"/>
      <c r="R718" s="38"/>
      <c r="S718" s="38"/>
      <c r="T718" s="38"/>
      <c r="U718" s="38"/>
      <c r="V718" s="38"/>
    </row>
    <row r="719">
      <c r="A719" s="75">
        <v>46085.0</v>
      </c>
      <c r="B719" s="27" t="s">
        <v>345</v>
      </c>
      <c r="C719" s="27">
        <v>8.86618177071E11</v>
      </c>
      <c r="D719" s="28" t="s">
        <v>67</v>
      </c>
      <c r="E719" s="27">
        <v>1.0</v>
      </c>
      <c r="F719" s="109" t="s">
        <v>35</v>
      </c>
      <c r="G719" s="27" t="s">
        <v>35</v>
      </c>
      <c r="H719" s="28">
        <v>10089.0</v>
      </c>
      <c r="I719" s="30" t="str">
        <f t="shared" si="29"/>
        <v>10089-GSB-N/A</v>
      </c>
      <c r="J719" s="31" t="s">
        <v>151</v>
      </c>
      <c r="K719" s="31" t="s">
        <v>55</v>
      </c>
      <c r="L719" s="120">
        <v>46237.0</v>
      </c>
      <c r="M719" s="27" t="s">
        <v>60</v>
      </c>
      <c r="N719" s="2">
        <v>3376.0</v>
      </c>
      <c r="O719" s="36" t="s">
        <v>1116</v>
      </c>
      <c r="P719" s="63">
        <v>46256.0</v>
      </c>
      <c r="Q719" s="38"/>
      <c r="R719" s="38"/>
      <c r="S719" s="38"/>
      <c r="T719" s="38"/>
      <c r="U719" s="38"/>
      <c r="V719" s="38"/>
    </row>
    <row r="720">
      <c r="A720" s="75">
        <v>46209.0</v>
      </c>
      <c r="B720" s="27" t="s">
        <v>438</v>
      </c>
      <c r="C720" s="27" t="s">
        <v>35</v>
      </c>
      <c r="D720" s="28" t="s">
        <v>64</v>
      </c>
      <c r="E720" s="27">
        <v>1.0</v>
      </c>
      <c r="F720" s="109" t="s">
        <v>35</v>
      </c>
      <c r="G720" s="27" t="s">
        <v>35</v>
      </c>
      <c r="H720" s="28">
        <v>10428.0</v>
      </c>
      <c r="I720" s="70" t="str">
        <f t="shared" ref="I720:I782" si="30">CONCATENATE(H720,"-","GSB","-",F720)</f>
        <v>10428-GSB-N/A</v>
      </c>
      <c r="J720" s="31" t="s">
        <v>1135</v>
      </c>
      <c r="K720" s="27" t="s">
        <v>55</v>
      </c>
      <c r="L720" s="120">
        <v>46238.0</v>
      </c>
      <c r="M720" s="27" t="s">
        <v>60</v>
      </c>
      <c r="N720" s="2"/>
      <c r="O720" s="51"/>
      <c r="P720" s="93"/>
      <c r="Q720" s="38"/>
      <c r="R720" s="38"/>
      <c r="S720" s="38"/>
      <c r="T720" s="38"/>
      <c r="U720" s="38"/>
      <c r="V720" s="38"/>
    </row>
    <row r="721">
      <c r="A721" s="75">
        <v>46209.0</v>
      </c>
      <c r="B721" s="27" t="s">
        <v>438</v>
      </c>
      <c r="C721" s="27" t="s">
        <v>35</v>
      </c>
      <c r="D721" s="28" t="s">
        <v>31</v>
      </c>
      <c r="E721" s="27">
        <v>1.0</v>
      </c>
      <c r="F721" s="109" t="s">
        <v>35</v>
      </c>
      <c r="G721" s="27" t="s">
        <v>35</v>
      </c>
      <c r="H721" s="28">
        <v>10389.0</v>
      </c>
      <c r="I721" s="70" t="str">
        <f t="shared" si="30"/>
        <v>10389-GSB-N/A</v>
      </c>
      <c r="J721" s="31" t="s">
        <v>151</v>
      </c>
      <c r="K721" s="27" t="s">
        <v>473</v>
      </c>
      <c r="L721" s="120">
        <v>46240.0</v>
      </c>
      <c r="M721" s="27" t="s">
        <v>60</v>
      </c>
      <c r="N721" s="2">
        <v>3311.0</v>
      </c>
      <c r="O721" s="36" t="s">
        <v>1136</v>
      </c>
      <c r="P721" s="63">
        <v>46253.0</v>
      </c>
      <c r="Q721" s="38"/>
      <c r="R721" s="38"/>
      <c r="S721" s="38"/>
      <c r="T721" s="38"/>
      <c r="U721" s="38"/>
      <c r="V721" s="38"/>
    </row>
    <row r="722">
      <c r="A722" s="75">
        <v>46174.0</v>
      </c>
      <c r="B722" s="27" t="s">
        <v>1137</v>
      </c>
      <c r="C722" s="27">
        <v>4.998117557E9</v>
      </c>
      <c r="D722" s="28" t="s">
        <v>5</v>
      </c>
      <c r="E722" s="27">
        <v>1.0</v>
      </c>
      <c r="F722" s="27" t="s">
        <v>35</v>
      </c>
      <c r="G722" s="27" t="s">
        <v>1138</v>
      </c>
      <c r="H722" s="28">
        <v>4923.0</v>
      </c>
      <c r="I722" s="70" t="str">
        <f t="shared" si="30"/>
        <v>4923-GSB-N/A</v>
      </c>
      <c r="J722" s="31" t="s">
        <v>151</v>
      </c>
      <c r="K722" s="27" t="s">
        <v>473</v>
      </c>
      <c r="L722" s="120">
        <v>46240.0</v>
      </c>
      <c r="M722" s="27" t="s">
        <v>60</v>
      </c>
      <c r="N722" s="2">
        <v>3315.0</v>
      </c>
      <c r="O722" s="36" t="s">
        <v>1139</v>
      </c>
      <c r="P722" s="63">
        <v>46258.0</v>
      </c>
      <c r="Q722" s="38"/>
      <c r="R722" s="38"/>
      <c r="S722" s="38"/>
      <c r="T722" s="38"/>
      <c r="U722" s="38"/>
      <c r="V722" s="38"/>
    </row>
    <row r="723">
      <c r="A723" s="75">
        <v>46164.0</v>
      </c>
      <c r="B723" s="27">
        <v>1332601.0</v>
      </c>
      <c r="C723" s="27" t="s">
        <v>682</v>
      </c>
      <c r="D723" s="28" t="s">
        <v>64</v>
      </c>
      <c r="E723" s="25">
        <v>1.0</v>
      </c>
      <c r="F723" s="109" t="s">
        <v>35</v>
      </c>
      <c r="G723" s="27" t="s">
        <v>35</v>
      </c>
      <c r="H723" s="28">
        <v>10190.0</v>
      </c>
      <c r="I723" s="70" t="str">
        <f t="shared" si="30"/>
        <v>10190-GSB-N/A</v>
      </c>
      <c r="J723" s="31" t="s">
        <v>151</v>
      </c>
      <c r="K723" s="27" t="s">
        <v>473</v>
      </c>
      <c r="L723" s="120">
        <v>46240.0</v>
      </c>
      <c r="M723" s="27" t="s">
        <v>60</v>
      </c>
      <c r="N723" s="2"/>
      <c r="O723" s="51"/>
      <c r="P723" s="93"/>
      <c r="Q723" s="38"/>
      <c r="R723" s="38"/>
      <c r="S723" s="38"/>
      <c r="T723" s="38"/>
      <c r="U723" s="38"/>
      <c r="V723" s="38"/>
    </row>
    <row r="724">
      <c r="A724" s="75">
        <v>46184.0</v>
      </c>
      <c r="B724" s="27" t="s">
        <v>621</v>
      </c>
      <c r="C724" s="27" t="s">
        <v>617</v>
      </c>
      <c r="D724" s="28" t="s">
        <v>8</v>
      </c>
      <c r="E724" s="27">
        <v>1.0</v>
      </c>
      <c r="F724" s="27" t="s">
        <v>1140</v>
      </c>
      <c r="G724" s="109" t="s">
        <v>35</v>
      </c>
      <c r="H724" s="28">
        <v>10368.0</v>
      </c>
      <c r="I724" s="70" t="str">
        <f t="shared" si="30"/>
        <v>10368-GSB-SDS/1043457</v>
      </c>
      <c r="J724" s="31" t="s">
        <v>725</v>
      </c>
      <c r="K724" s="27" t="s">
        <v>152</v>
      </c>
      <c r="L724" s="120">
        <v>46244.0</v>
      </c>
      <c r="M724" s="27" t="s">
        <v>60</v>
      </c>
      <c r="N724" s="2">
        <v>3094.0</v>
      </c>
      <c r="O724" s="36" t="s">
        <v>1141</v>
      </c>
      <c r="P724" s="63">
        <v>46255.0</v>
      </c>
      <c r="Q724" s="38"/>
      <c r="R724" s="38"/>
      <c r="S724" s="38"/>
      <c r="T724" s="38"/>
      <c r="U724" s="38"/>
      <c r="V724" s="38"/>
    </row>
    <row r="725">
      <c r="A725" s="75">
        <v>46209.0</v>
      </c>
      <c r="B725" s="27" t="s">
        <v>438</v>
      </c>
      <c r="C725" s="27" t="s">
        <v>35</v>
      </c>
      <c r="D725" s="28" t="s">
        <v>31</v>
      </c>
      <c r="E725" s="27">
        <v>1.0</v>
      </c>
      <c r="F725" s="109" t="s">
        <v>35</v>
      </c>
      <c r="G725" s="27" t="s">
        <v>35</v>
      </c>
      <c r="H725" s="28">
        <v>10396.0</v>
      </c>
      <c r="I725" s="70" t="str">
        <f t="shared" si="30"/>
        <v>10396-GSB-N/A</v>
      </c>
      <c r="J725" s="31" t="s">
        <v>151</v>
      </c>
      <c r="K725" s="27" t="s">
        <v>152</v>
      </c>
      <c r="L725" s="120">
        <v>46244.0</v>
      </c>
      <c r="M725" s="27" t="s">
        <v>60</v>
      </c>
      <c r="N725" s="2">
        <v>3091.0</v>
      </c>
      <c r="O725" s="36" t="s">
        <v>1142</v>
      </c>
      <c r="P725" s="63">
        <v>46248.0</v>
      </c>
      <c r="Q725" s="38"/>
      <c r="R725" s="38"/>
      <c r="S725" s="38"/>
      <c r="T725" s="38"/>
      <c r="U725" s="38"/>
      <c r="V725" s="38"/>
    </row>
    <row r="726">
      <c r="A726" s="75">
        <v>46209.0</v>
      </c>
      <c r="B726" s="27" t="s">
        <v>438</v>
      </c>
      <c r="C726" s="27" t="s">
        <v>35</v>
      </c>
      <c r="D726" s="28" t="s">
        <v>31</v>
      </c>
      <c r="E726" s="27">
        <v>1.0</v>
      </c>
      <c r="F726" s="109" t="s">
        <v>35</v>
      </c>
      <c r="G726" s="27" t="s">
        <v>35</v>
      </c>
      <c r="H726" s="28">
        <v>10397.0</v>
      </c>
      <c r="I726" s="70" t="str">
        <f t="shared" si="30"/>
        <v>10397-GSB-N/A</v>
      </c>
      <c r="J726" s="31" t="s">
        <v>151</v>
      </c>
      <c r="K726" s="27" t="s">
        <v>152</v>
      </c>
      <c r="L726" s="120">
        <v>46244.0</v>
      </c>
      <c r="M726" s="27" t="s">
        <v>60</v>
      </c>
      <c r="N726" s="2">
        <v>3090.0</v>
      </c>
      <c r="O726" s="36" t="s">
        <v>891</v>
      </c>
      <c r="P726" s="63">
        <v>46248.0</v>
      </c>
      <c r="Q726" s="38"/>
      <c r="R726" s="38"/>
      <c r="S726" s="38"/>
      <c r="T726" s="38"/>
      <c r="U726" s="38"/>
      <c r="V726" s="38"/>
    </row>
    <row r="727">
      <c r="A727" s="75">
        <v>46209.0</v>
      </c>
      <c r="B727" s="27" t="s">
        <v>438</v>
      </c>
      <c r="C727" s="27" t="s">
        <v>35</v>
      </c>
      <c r="D727" s="28" t="s">
        <v>31</v>
      </c>
      <c r="E727" s="27">
        <v>1.0</v>
      </c>
      <c r="F727" s="109" t="s">
        <v>35</v>
      </c>
      <c r="G727" s="27" t="s">
        <v>35</v>
      </c>
      <c r="H727" s="28">
        <v>10398.0</v>
      </c>
      <c r="I727" s="70" t="str">
        <f t="shared" si="30"/>
        <v>10398-GSB-N/A</v>
      </c>
      <c r="J727" s="31" t="s">
        <v>151</v>
      </c>
      <c r="K727" s="27" t="s">
        <v>152</v>
      </c>
      <c r="L727" s="120">
        <v>46244.0</v>
      </c>
      <c r="M727" s="27" t="s">
        <v>60</v>
      </c>
      <c r="N727" s="2">
        <v>3090.0</v>
      </c>
      <c r="O727" s="36" t="s">
        <v>891</v>
      </c>
      <c r="P727" s="63">
        <v>46248.0</v>
      </c>
      <c r="Q727" s="38"/>
      <c r="R727" s="38"/>
      <c r="S727" s="38"/>
      <c r="T727" s="38"/>
      <c r="U727" s="38"/>
      <c r="V727" s="38"/>
    </row>
    <row r="728">
      <c r="A728" s="75">
        <v>46209.0</v>
      </c>
      <c r="B728" s="27" t="s">
        <v>438</v>
      </c>
      <c r="C728" s="27" t="s">
        <v>35</v>
      </c>
      <c r="D728" s="28" t="s">
        <v>31</v>
      </c>
      <c r="E728" s="27">
        <v>1.0</v>
      </c>
      <c r="F728" s="109" t="s">
        <v>35</v>
      </c>
      <c r="G728" s="27" t="s">
        <v>35</v>
      </c>
      <c r="H728" s="28">
        <v>10399.0</v>
      </c>
      <c r="I728" s="70" t="str">
        <f t="shared" si="30"/>
        <v>10399-GSB-N/A</v>
      </c>
      <c r="J728" s="31" t="s">
        <v>151</v>
      </c>
      <c r="K728" s="27" t="s">
        <v>152</v>
      </c>
      <c r="L728" s="120">
        <v>46244.0</v>
      </c>
      <c r="M728" s="27" t="s">
        <v>60</v>
      </c>
      <c r="N728" s="2">
        <v>3089.0</v>
      </c>
      <c r="O728" s="36" t="s">
        <v>752</v>
      </c>
      <c r="P728" s="63">
        <v>46247.0</v>
      </c>
      <c r="Q728" s="38"/>
      <c r="R728" s="38"/>
      <c r="S728" s="38"/>
      <c r="T728" s="38"/>
      <c r="U728" s="38"/>
      <c r="V728" s="38"/>
    </row>
    <row r="729">
      <c r="A729" s="75">
        <v>46209.0</v>
      </c>
      <c r="B729" s="27" t="s">
        <v>438</v>
      </c>
      <c r="C729" s="27" t="s">
        <v>35</v>
      </c>
      <c r="D729" s="28" t="s">
        <v>31</v>
      </c>
      <c r="E729" s="27">
        <v>1.0</v>
      </c>
      <c r="F729" s="109" t="s">
        <v>35</v>
      </c>
      <c r="G729" s="27" t="s">
        <v>35</v>
      </c>
      <c r="H729" s="28">
        <v>10400.0</v>
      </c>
      <c r="I729" s="70" t="str">
        <f t="shared" si="30"/>
        <v>10400-GSB-N/A</v>
      </c>
      <c r="J729" s="31" t="s">
        <v>151</v>
      </c>
      <c r="K729" s="27" t="s">
        <v>152</v>
      </c>
      <c r="L729" s="120">
        <v>46244.0</v>
      </c>
      <c r="M729" s="27" t="s">
        <v>60</v>
      </c>
      <c r="N729" s="2">
        <v>3089.0</v>
      </c>
      <c r="O729" s="36" t="s">
        <v>752</v>
      </c>
      <c r="P729" s="63">
        <v>46247.0</v>
      </c>
      <c r="Q729" s="38"/>
      <c r="R729" s="38"/>
      <c r="S729" s="38"/>
      <c r="T729" s="38"/>
      <c r="U729" s="38"/>
      <c r="V729" s="38"/>
    </row>
    <row r="730">
      <c r="A730" s="75">
        <v>46184.0</v>
      </c>
      <c r="B730" s="27" t="s">
        <v>35</v>
      </c>
      <c r="C730" s="27" t="s">
        <v>35</v>
      </c>
      <c r="D730" s="28" t="s">
        <v>333</v>
      </c>
      <c r="E730" s="27">
        <v>1.0</v>
      </c>
      <c r="F730" s="109" t="s">
        <v>35</v>
      </c>
      <c r="G730" s="27" t="s">
        <v>35</v>
      </c>
      <c r="H730" s="28">
        <v>10246.0</v>
      </c>
      <c r="I730" s="70" t="str">
        <f t="shared" si="30"/>
        <v>10246-GSB-N/A</v>
      </c>
      <c r="J730" s="31" t="s">
        <v>151</v>
      </c>
      <c r="K730" s="27" t="s">
        <v>152</v>
      </c>
      <c r="L730" s="120">
        <v>46244.0</v>
      </c>
      <c r="M730" s="27" t="s">
        <v>60</v>
      </c>
      <c r="N730" s="2">
        <v>3089.0</v>
      </c>
      <c r="O730" s="36" t="s">
        <v>752</v>
      </c>
      <c r="P730" s="63">
        <v>46247.0</v>
      </c>
      <c r="Q730" s="38"/>
      <c r="R730" s="38"/>
      <c r="S730" s="38"/>
      <c r="T730" s="38"/>
      <c r="U730" s="38"/>
      <c r="V730" s="38"/>
    </row>
    <row r="731">
      <c r="A731" s="75">
        <v>46184.0</v>
      </c>
      <c r="B731" s="27" t="s">
        <v>35</v>
      </c>
      <c r="C731" s="27" t="s">
        <v>35</v>
      </c>
      <c r="D731" s="28" t="s">
        <v>333</v>
      </c>
      <c r="E731" s="27">
        <v>1.0</v>
      </c>
      <c r="F731" s="109" t="s">
        <v>35</v>
      </c>
      <c r="G731" s="27" t="s">
        <v>35</v>
      </c>
      <c r="H731" s="28">
        <v>10249.0</v>
      </c>
      <c r="I731" s="70" t="str">
        <f t="shared" si="30"/>
        <v>10249-GSB-N/A</v>
      </c>
      <c r="J731" s="31" t="s">
        <v>151</v>
      </c>
      <c r="K731" s="27" t="s">
        <v>152</v>
      </c>
      <c r="L731" s="120">
        <v>46244.0</v>
      </c>
      <c r="M731" s="27" t="s">
        <v>60</v>
      </c>
      <c r="N731" s="2">
        <v>3090.0</v>
      </c>
      <c r="O731" s="36" t="s">
        <v>891</v>
      </c>
      <c r="P731" s="63">
        <v>46248.0</v>
      </c>
      <c r="Q731" s="38"/>
      <c r="R731" s="38"/>
      <c r="S731" s="38"/>
      <c r="T731" s="38"/>
      <c r="U731" s="38"/>
      <c r="V731" s="38"/>
    </row>
    <row r="732">
      <c r="A732" s="75">
        <v>46209.0</v>
      </c>
      <c r="B732" s="27" t="s">
        <v>438</v>
      </c>
      <c r="C732" s="27" t="s">
        <v>35</v>
      </c>
      <c r="D732" s="28" t="s">
        <v>36</v>
      </c>
      <c r="E732" s="27">
        <v>1.0</v>
      </c>
      <c r="F732" s="109" t="s">
        <v>35</v>
      </c>
      <c r="G732" s="27" t="s">
        <v>35</v>
      </c>
      <c r="H732" s="28" t="s">
        <v>35</v>
      </c>
      <c r="I732" s="70" t="str">
        <f t="shared" si="30"/>
        <v>N/A-GSB-N/A</v>
      </c>
      <c r="J732" s="31" t="s">
        <v>1143</v>
      </c>
      <c r="K732" s="27" t="s">
        <v>492</v>
      </c>
      <c r="L732" s="120">
        <v>46244.0</v>
      </c>
      <c r="M732" s="27" t="s">
        <v>60</v>
      </c>
      <c r="N732" s="2">
        <v>3408.0</v>
      </c>
      <c r="O732" s="36" t="s">
        <v>1143</v>
      </c>
      <c r="P732" s="63">
        <v>46245.0</v>
      </c>
      <c r="Q732" s="38"/>
      <c r="R732" s="38"/>
      <c r="S732" s="38"/>
      <c r="T732" s="38"/>
      <c r="U732" s="38"/>
      <c r="V732" s="38"/>
    </row>
    <row r="733">
      <c r="A733" s="75">
        <v>46209.0</v>
      </c>
      <c r="B733" s="27" t="s">
        <v>438</v>
      </c>
      <c r="C733" s="27" t="s">
        <v>35</v>
      </c>
      <c r="D733" s="28" t="s">
        <v>36</v>
      </c>
      <c r="E733" s="27">
        <v>1.0</v>
      </c>
      <c r="F733" s="109" t="s">
        <v>35</v>
      </c>
      <c r="G733" s="27" t="s">
        <v>35</v>
      </c>
      <c r="H733" s="28" t="s">
        <v>35</v>
      </c>
      <c r="I733" s="70" t="str">
        <f t="shared" si="30"/>
        <v>N/A-GSB-N/A</v>
      </c>
      <c r="J733" s="31" t="s">
        <v>1143</v>
      </c>
      <c r="K733" s="27" t="s">
        <v>492</v>
      </c>
      <c r="L733" s="120">
        <v>46244.0</v>
      </c>
      <c r="M733" s="27" t="s">
        <v>60</v>
      </c>
      <c r="N733" s="2"/>
      <c r="O733" s="51"/>
      <c r="P733" s="93"/>
      <c r="Q733" s="38"/>
      <c r="R733" s="38"/>
      <c r="S733" s="38"/>
      <c r="T733" s="38"/>
      <c r="U733" s="38"/>
      <c r="V733" s="38"/>
    </row>
    <row r="734">
      <c r="A734" s="75">
        <v>46209.0</v>
      </c>
      <c r="B734" s="27" t="s">
        <v>438</v>
      </c>
      <c r="C734" s="27" t="s">
        <v>35</v>
      </c>
      <c r="D734" s="28" t="s">
        <v>41</v>
      </c>
      <c r="E734" s="27">
        <v>1.0</v>
      </c>
      <c r="F734" s="109" t="s">
        <v>35</v>
      </c>
      <c r="G734" s="27" t="s">
        <v>35</v>
      </c>
      <c r="H734" s="28">
        <v>10407.0</v>
      </c>
      <c r="I734" s="70" t="str">
        <f t="shared" si="30"/>
        <v>10407-GSB-N/A</v>
      </c>
      <c r="J734" s="31" t="s">
        <v>1143</v>
      </c>
      <c r="K734" s="27" t="s">
        <v>492</v>
      </c>
      <c r="L734" s="120">
        <v>46244.0</v>
      </c>
      <c r="M734" s="27" t="s">
        <v>60</v>
      </c>
      <c r="N734" s="2">
        <v>3408.0</v>
      </c>
      <c r="O734" s="36" t="s">
        <v>1143</v>
      </c>
      <c r="P734" s="63">
        <v>46245.0</v>
      </c>
      <c r="Q734" s="38"/>
      <c r="R734" s="38"/>
      <c r="S734" s="38"/>
      <c r="T734" s="38"/>
      <c r="U734" s="38"/>
      <c r="V734" s="38"/>
    </row>
    <row r="735">
      <c r="A735" s="23">
        <v>45897.0</v>
      </c>
      <c r="B735" s="25">
        <v>2.093501849E9</v>
      </c>
      <c r="C735" s="25" t="s">
        <v>108</v>
      </c>
      <c r="D735" s="70" t="s">
        <v>43</v>
      </c>
      <c r="E735" s="25">
        <v>1.0</v>
      </c>
      <c r="F735" s="109" t="s">
        <v>35</v>
      </c>
      <c r="G735" s="25">
        <v>2.503380522E9</v>
      </c>
      <c r="H735" s="70">
        <v>7422.0</v>
      </c>
      <c r="I735" s="70" t="str">
        <f t="shared" si="30"/>
        <v>7422-GSB-N/A</v>
      </c>
      <c r="J735" s="31" t="s">
        <v>1144</v>
      </c>
      <c r="K735" s="27" t="s">
        <v>492</v>
      </c>
      <c r="L735" s="120">
        <v>46244.0</v>
      </c>
      <c r="M735" s="27" t="s">
        <v>60</v>
      </c>
      <c r="N735" s="2">
        <v>3408.0</v>
      </c>
      <c r="O735" s="36" t="s">
        <v>1143</v>
      </c>
      <c r="P735" s="63">
        <v>46245.0</v>
      </c>
      <c r="Q735" s="38"/>
      <c r="R735" s="38"/>
      <c r="S735" s="38"/>
      <c r="T735" s="38"/>
      <c r="U735" s="38"/>
      <c r="V735" s="38"/>
    </row>
    <row r="736">
      <c r="A736" s="23">
        <v>45530.60907740741</v>
      </c>
      <c r="B736" s="123">
        <v>46195.63702364583</v>
      </c>
      <c r="C736" s="25" t="s">
        <v>257</v>
      </c>
      <c r="D736" s="70" t="s">
        <v>57</v>
      </c>
      <c r="E736" s="25">
        <v>1.0</v>
      </c>
      <c r="F736" s="109" t="s">
        <v>35</v>
      </c>
      <c r="G736" s="109" t="s">
        <v>35</v>
      </c>
      <c r="H736" s="70">
        <v>8577.0</v>
      </c>
      <c r="I736" s="70" t="str">
        <f t="shared" si="30"/>
        <v>8577-GSB-N/A</v>
      </c>
      <c r="J736" s="31" t="s">
        <v>1143</v>
      </c>
      <c r="K736" s="27" t="s">
        <v>492</v>
      </c>
      <c r="L736" s="120">
        <v>46244.0</v>
      </c>
      <c r="M736" s="27" t="s">
        <v>60</v>
      </c>
      <c r="N736" s="2">
        <v>3408.0</v>
      </c>
      <c r="O736" s="36" t="s">
        <v>1143</v>
      </c>
      <c r="P736" s="63">
        <v>46245.0</v>
      </c>
      <c r="Q736" s="38"/>
      <c r="R736" s="38"/>
      <c r="S736" s="38"/>
      <c r="T736" s="38"/>
      <c r="U736" s="38"/>
      <c r="V736" s="38"/>
    </row>
    <row r="737">
      <c r="A737" s="75">
        <v>46209.0</v>
      </c>
      <c r="B737" s="27" t="s">
        <v>438</v>
      </c>
      <c r="C737" s="27" t="s">
        <v>35</v>
      </c>
      <c r="D737" s="28" t="s">
        <v>31</v>
      </c>
      <c r="E737" s="27">
        <v>1.0</v>
      </c>
      <c r="F737" s="109" t="s">
        <v>35</v>
      </c>
      <c r="G737" s="27" t="s">
        <v>35</v>
      </c>
      <c r="H737" s="28">
        <v>10386.0</v>
      </c>
      <c r="I737" s="70" t="str">
        <f t="shared" si="30"/>
        <v>10386-GSB-N/A</v>
      </c>
      <c r="J737" s="31" t="s">
        <v>151</v>
      </c>
      <c r="K737" s="27" t="s">
        <v>747</v>
      </c>
      <c r="L737" s="120">
        <v>46245.0</v>
      </c>
      <c r="M737" s="27" t="s">
        <v>60</v>
      </c>
      <c r="N737" s="2">
        <v>2682.0</v>
      </c>
      <c r="O737" s="36" t="s">
        <v>1145</v>
      </c>
      <c r="P737" s="63">
        <v>46258.0</v>
      </c>
      <c r="Q737" s="38"/>
      <c r="R737" s="38"/>
      <c r="S737" s="38"/>
      <c r="T737" s="38"/>
      <c r="U737" s="38"/>
      <c r="V737" s="38"/>
    </row>
    <row r="738">
      <c r="A738" s="75">
        <v>46209.0</v>
      </c>
      <c r="B738" s="27" t="s">
        <v>438</v>
      </c>
      <c r="C738" s="27" t="s">
        <v>35</v>
      </c>
      <c r="D738" s="28" t="s">
        <v>31</v>
      </c>
      <c r="E738" s="27">
        <v>1.0</v>
      </c>
      <c r="F738" s="109" t="s">
        <v>35</v>
      </c>
      <c r="G738" s="27" t="s">
        <v>35</v>
      </c>
      <c r="H738" s="28">
        <v>10387.0</v>
      </c>
      <c r="I738" s="70" t="str">
        <f t="shared" si="30"/>
        <v>10387-GSB-N/A</v>
      </c>
      <c r="J738" s="31" t="s">
        <v>151</v>
      </c>
      <c r="K738" s="27" t="s">
        <v>747</v>
      </c>
      <c r="L738" s="120">
        <v>46245.0</v>
      </c>
      <c r="M738" s="27" t="s">
        <v>60</v>
      </c>
      <c r="N738" s="2"/>
      <c r="O738" s="51"/>
      <c r="P738" s="93"/>
      <c r="Q738" s="38"/>
      <c r="R738" s="38"/>
      <c r="S738" s="38"/>
      <c r="T738" s="38"/>
      <c r="U738" s="38"/>
      <c r="V738" s="38"/>
    </row>
    <row r="739">
      <c r="A739" s="75">
        <v>46209.0</v>
      </c>
      <c r="B739" s="27" t="s">
        <v>438</v>
      </c>
      <c r="C739" s="27" t="s">
        <v>35</v>
      </c>
      <c r="D739" s="28" t="s">
        <v>31</v>
      </c>
      <c r="E739" s="27">
        <v>1.0</v>
      </c>
      <c r="F739" s="109" t="s">
        <v>35</v>
      </c>
      <c r="G739" s="27" t="s">
        <v>35</v>
      </c>
      <c r="H739" s="28">
        <v>10388.0</v>
      </c>
      <c r="I739" s="70" t="str">
        <f t="shared" si="30"/>
        <v>10388-GSB-N/A</v>
      </c>
      <c r="J739" s="31" t="s">
        <v>151</v>
      </c>
      <c r="K739" s="27" t="s">
        <v>747</v>
      </c>
      <c r="L739" s="120">
        <v>46245.0</v>
      </c>
      <c r="M739" s="27" t="s">
        <v>60</v>
      </c>
      <c r="N739" s="2">
        <v>2679.0</v>
      </c>
      <c r="O739" s="36" t="s">
        <v>1146</v>
      </c>
      <c r="P739" s="63">
        <v>46253.0</v>
      </c>
      <c r="Q739" s="38"/>
      <c r="R739" s="38"/>
      <c r="S739" s="38"/>
      <c r="T739" s="38"/>
      <c r="U739" s="38"/>
      <c r="V739" s="38"/>
    </row>
    <row r="740">
      <c r="A740" s="75">
        <v>46189.0</v>
      </c>
      <c r="B740" s="27" t="s">
        <v>233</v>
      </c>
      <c r="C740" s="27">
        <v>4.998117557E9</v>
      </c>
      <c r="D740" s="28" t="s">
        <v>5</v>
      </c>
      <c r="E740" s="27">
        <v>1.0</v>
      </c>
      <c r="F740" s="27" t="s">
        <v>1147</v>
      </c>
      <c r="G740" s="31" t="s">
        <v>1148</v>
      </c>
      <c r="H740" s="28">
        <v>5816.0</v>
      </c>
      <c r="I740" s="70" t="str">
        <f t="shared" si="30"/>
        <v>5816-GSB-SDS - 1037083</v>
      </c>
      <c r="J740" s="31" t="s">
        <v>151</v>
      </c>
      <c r="K740" s="27" t="s">
        <v>747</v>
      </c>
      <c r="L740" s="120">
        <v>46245.0</v>
      </c>
      <c r="M740" s="27" t="s">
        <v>60</v>
      </c>
      <c r="N740" s="2"/>
      <c r="O740" s="51"/>
      <c r="P740" s="93"/>
      <c r="Q740" s="38"/>
      <c r="R740" s="38"/>
      <c r="S740" s="38"/>
      <c r="T740" s="38"/>
      <c r="U740" s="38"/>
      <c r="V740" s="38"/>
    </row>
    <row r="741">
      <c r="A741" s="75">
        <v>46189.0</v>
      </c>
      <c r="B741" s="27" t="s">
        <v>233</v>
      </c>
      <c r="C741" s="27">
        <v>4.998117557E9</v>
      </c>
      <c r="D741" s="28" t="s">
        <v>5</v>
      </c>
      <c r="E741" s="27">
        <v>1.0</v>
      </c>
      <c r="F741" s="27" t="s">
        <v>1149</v>
      </c>
      <c r="G741" s="27">
        <v>9.2256847591E12</v>
      </c>
      <c r="H741" s="28">
        <v>5042.0</v>
      </c>
      <c r="I741" s="70" t="str">
        <f t="shared" si="30"/>
        <v>5042-GSB-SDS - 1032435</v>
      </c>
      <c r="J741" s="31" t="s">
        <v>151</v>
      </c>
      <c r="K741" s="27" t="s">
        <v>747</v>
      </c>
      <c r="L741" s="120">
        <v>46245.0</v>
      </c>
      <c r="M741" s="27" t="s">
        <v>60</v>
      </c>
      <c r="N741" s="2">
        <v>2688.0</v>
      </c>
      <c r="O741" s="36" t="s">
        <v>1150</v>
      </c>
      <c r="P741" s="63">
        <v>46275.0</v>
      </c>
      <c r="Q741" s="38"/>
      <c r="R741" s="38"/>
      <c r="S741" s="38"/>
      <c r="T741" s="38"/>
      <c r="U741" s="38"/>
      <c r="V741" s="38"/>
    </row>
    <row r="742">
      <c r="A742" s="75">
        <v>46189.0</v>
      </c>
      <c r="B742" s="27" t="s">
        <v>233</v>
      </c>
      <c r="C742" s="27">
        <v>4.998117557E9</v>
      </c>
      <c r="D742" s="28" t="s">
        <v>5</v>
      </c>
      <c r="E742" s="27">
        <v>1.0</v>
      </c>
      <c r="F742" s="27" t="s">
        <v>1151</v>
      </c>
      <c r="G742" s="27" t="s">
        <v>1152</v>
      </c>
      <c r="H742" s="28">
        <v>5558.0</v>
      </c>
      <c r="I742" s="70" t="str">
        <f t="shared" si="30"/>
        <v>5558-GSB-SDS - 1032956</v>
      </c>
      <c r="J742" s="31" t="s">
        <v>151</v>
      </c>
      <c r="K742" s="27" t="s">
        <v>747</v>
      </c>
      <c r="L742" s="120">
        <v>46245.0</v>
      </c>
      <c r="M742" s="27" t="s">
        <v>60</v>
      </c>
      <c r="N742" s="2"/>
      <c r="O742" s="51"/>
      <c r="P742" s="93"/>
      <c r="Q742" s="38"/>
      <c r="R742" s="38"/>
      <c r="S742" s="38"/>
      <c r="T742" s="38"/>
      <c r="U742" s="38"/>
      <c r="V742" s="38"/>
    </row>
    <row r="743">
      <c r="A743" s="120">
        <v>46225.0</v>
      </c>
      <c r="B743" s="27" t="s">
        <v>1153</v>
      </c>
      <c r="C743" s="27" t="s">
        <v>202</v>
      </c>
      <c r="D743" s="28" t="s">
        <v>45</v>
      </c>
      <c r="E743" s="27">
        <v>1.0</v>
      </c>
      <c r="F743" s="27" t="s">
        <v>1154</v>
      </c>
      <c r="G743" s="27" t="s">
        <v>1155</v>
      </c>
      <c r="H743" s="28">
        <v>10433.0</v>
      </c>
      <c r="I743" s="70" t="str">
        <f t="shared" si="30"/>
        <v>10433-GSB-SDS/1044237</v>
      </c>
      <c r="J743" s="31" t="s">
        <v>151</v>
      </c>
      <c r="K743" s="27" t="s">
        <v>747</v>
      </c>
      <c r="L743" s="120">
        <v>46245.0</v>
      </c>
      <c r="M743" s="27" t="s">
        <v>60</v>
      </c>
      <c r="N743" s="2"/>
      <c r="O743" s="51"/>
      <c r="P743" s="93"/>
      <c r="Q743" s="38"/>
      <c r="R743" s="38"/>
      <c r="S743" s="38"/>
      <c r="T743" s="38"/>
      <c r="U743" s="38"/>
      <c r="V743" s="38"/>
    </row>
    <row r="744">
      <c r="A744" s="75">
        <v>46182.0</v>
      </c>
      <c r="B744" s="27" t="s">
        <v>503</v>
      </c>
      <c r="C744" s="27" t="s">
        <v>581</v>
      </c>
      <c r="D744" s="28" t="s">
        <v>50</v>
      </c>
      <c r="E744" s="27">
        <v>1.0</v>
      </c>
      <c r="F744" s="109" t="s">
        <v>35</v>
      </c>
      <c r="G744" s="27" t="s">
        <v>1156</v>
      </c>
      <c r="H744" s="28">
        <v>10223.0</v>
      </c>
      <c r="I744" s="70" t="str">
        <f t="shared" si="30"/>
        <v>10223-GSB-N/A</v>
      </c>
      <c r="J744" s="31" t="s">
        <v>151</v>
      </c>
      <c r="K744" s="27" t="s">
        <v>747</v>
      </c>
      <c r="L744" s="120">
        <v>46245.0</v>
      </c>
      <c r="M744" s="27" t="s">
        <v>60</v>
      </c>
      <c r="N744" s="2"/>
      <c r="O744" s="51"/>
      <c r="P744" s="93"/>
      <c r="Q744" s="38"/>
      <c r="R744" s="38"/>
      <c r="S744" s="38"/>
      <c r="T744" s="38"/>
      <c r="U744" s="38"/>
      <c r="V744" s="38"/>
    </row>
    <row r="745">
      <c r="A745" s="75">
        <v>46209.0</v>
      </c>
      <c r="B745" s="27" t="s">
        <v>438</v>
      </c>
      <c r="C745" s="27" t="s">
        <v>35</v>
      </c>
      <c r="D745" s="28" t="s">
        <v>31</v>
      </c>
      <c r="E745" s="27">
        <v>1.0</v>
      </c>
      <c r="F745" s="109" t="s">
        <v>35</v>
      </c>
      <c r="G745" s="27" t="s">
        <v>35</v>
      </c>
      <c r="H745" s="28">
        <v>10393.0</v>
      </c>
      <c r="I745" s="70" t="str">
        <f t="shared" si="30"/>
        <v>10393-GSB-N/A</v>
      </c>
      <c r="J745" s="31" t="s">
        <v>1157</v>
      </c>
      <c r="K745" s="27" t="s">
        <v>55</v>
      </c>
      <c r="L745" s="120">
        <v>46245.0</v>
      </c>
      <c r="M745" s="27" t="s">
        <v>60</v>
      </c>
      <c r="N745" s="2">
        <v>3376.0</v>
      </c>
      <c r="O745" s="36" t="s">
        <v>1116</v>
      </c>
      <c r="P745" s="63">
        <v>46256.0</v>
      </c>
      <c r="Q745" s="38"/>
      <c r="R745" s="38"/>
      <c r="S745" s="38"/>
      <c r="T745" s="38"/>
      <c r="U745" s="38"/>
      <c r="V745" s="38"/>
    </row>
    <row r="746">
      <c r="A746" s="75">
        <v>46209.0</v>
      </c>
      <c r="B746" s="27" t="s">
        <v>438</v>
      </c>
      <c r="C746" s="27" t="s">
        <v>35</v>
      </c>
      <c r="D746" s="28" t="s">
        <v>31</v>
      </c>
      <c r="E746" s="27">
        <v>1.0</v>
      </c>
      <c r="F746" s="109" t="s">
        <v>35</v>
      </c>
      <c r="G746" s="27" t="s">
        <v>35</v>
      </c>
      <c r="H746" s="28">
        <v>10394.0</v>
      </c>
      <c r="I746" s="70" t="str">
        <f t="shared" si="30"/>
        <v>10394-GSB-N/A</v>
      </c>
      <c r="J746" s="31" t="s">
        <v>1157</v>
      </c>
      <c r="K746" s="27" t="s">
        <v>55</v>
      </c>
      <c r="L746" s="120">
        <v>46245.0</v>
      </c>
      <c r="M746" s="27" t="s">
        <v>60</v>
      </c>
      <c r="N746" s="2">
        <v>3376.0</v>
      </c>
      <c r="O746" s="36" t="s">
        <v>1116</v>
      </c>
      <c r="P746" s="63">
        <v>46256.0</v>
      </c>
      <c r="Q746" s="38"/>
      <c r="R746" s="38"/>
      <c r="S746" s="38"/>
      <c r="T746" s="38"/>
      <c r="U746" s="38"/>
      <c r="V746" s="38"/>
    </row>
    <row r="747">
      <c r="A747" s="75">
        <v>46209.0</v>
      </c>
      <c r="B747" s="27" t="s">
        <v>438</v>
      </c>
      <c r="C747" s="27" t="s">
        <v>35</v>
      </c>
      <c r="D747" s="28" t="s">
        <v>31</v>
      </c>
      <c r="E747" s="27">
        <v>1.0</v>
      </c>
      <c r="F747" s="109" t="s">
        <v>35</v>
      </c>
      <c r="G747" s="27" t="s">
        <v>35</v>
      </c>
      <c r="H747" s="28">
        <v>10395.0</v>
      </c>
      <c r="I747" s="70" t="str">
        <f t="shared" si="30"/>
        <v>10395-GSB-N/A</v>
      </c>
      <c r="J747" s="31" t="s">
        <v>1157</v>
      </c>
      <c r="K747" s="27" t="s">
        <v>55</v>
      </c>
      <c r="L747" s="120">
        <v>46245.0</v>
      </c>
      <c r="M747" s="27" t="s">
        <v>60</v>
      </c>
      <c r="N747" s="2">
        <v>3376.0</v>
      </c>
      <c r="O747" s="36" t="s">
        <v>1116</v>
      </c>
      <c r="P747" s="63">
        <v>46256.0</v>
      </c>
      <c r="Q747" s="38"/>
      <c r="R747" s="38"/>
      <c r="S747" s="38"/>
      <c r="T747" s="38"/>
      <c r="U747" s="38"/>
      <c r="V747" s="38"/>
    </row>
    <row r="748">
      <c r="A748" s="75">
        <v>46209.0</v>
      </c>
      <c r="B748" s="27" t="s">
        <v>438</v>
      </c>
      <c r="C748" s="27" t="s">
        <v>35</v>
      </c>
      <c r="D748" s="28" t="s">
        <v>36</v>
      </c>
      <c r="E748" s="27">
        <v>1.0</v>
      </c>
      <c r="F748" s="109" t="s">
        <v>35</v>
      </c>
      <c r="G748" s="27" t="s">
        <v>35</v>
      </c>
      <c r="H748" s="28" t="s">
        <v>35</v>
      </c>
      <c r="I748" s="70" t="str">
        <f t="shared" si="30"/>
        <v>N/A-GSB-N/A</v>
      </c>
      <c r="J748" s="31" t="s">
        <v>1157</v>
      </c>
      <c r="K748" s="27" t="s">
        <v>55</v>
      </c>
      <c r="L748" s="120">
        <v>46245.0</v>
      </c>
      <c r="M748" s="27" t="s">
        <v>60</v>
      </c>
      <c r="N748" s="2">
        <v>3376.0</v>
      </c>
      <c r="O748" s="36" t="s">
        <v>1116</v>
      </c>
      <c r="P748" s="63">
        <v>46256.0</v>
      </c>
      <c r="Q748" s="38"/>
      <c r="R748" s="38"/>
      <c r="S748" s="38"/>
      <c r="T748" s="38"/>
      <c r="U748" s="38"/>
      <c r="V748" s="38"/>
    </row>
    <row r="749">
      <c r="A749" s="75">
        <v>46209.0</v>
      </c>
      <c r="B749" s="27" t="s">
        <v>438</v>
      </c>
      <c r="C749" s="27" t="s">
        <v>35</v>
      </c>
      <c r="D749" s="28" t="s">
        <v>36</v>
      </c>
      <c r="E749" s="27">
        <v>1.0</v>
      </c>
      <c r="F749" s="109" t="s">
        <v>35</v>
      </c>
      <c r="G749" s="27" t="s">
        <v>35</v>
      </c>
      <c r="H749" s="28" t="s">
        <v>35</v>
      </c>
      <c r="I749" s="70" t="str">
        <f t="shared" si="30"/>
        <v>N/A-GSB-N/A</v>
      </c>
      <c r="J749" s="31" t="s">
        <v>1157</v>
      </c>
      <c r="K749" s="27" t="s">
        <v>55</v>
      </c>
      <c r="L749" s="120">
        <v>46245.0</v>
      </c>
      <c r="M749" s="27" t="s">
        <v>60</v>
      </c>
      <c r="N749" s="2"/>
      <c r="O749" s="51"/>
      <c r="P749" s="93"/>
      <c r="Q749" s="38"/>
      <c r="R749" s="38"/>
      <c r="S749" s="38"/>
      <c r="T749" s="38"/>
      <c r="U749" s="38"/>
      <c r="V749" s="38"/>
    </row>
    <row r="750">
      <c r="A750" s="75">
        <v>46209.0</v>
      </c>
      <c r="B750" s="27" t="s">
        <v>438</v>
      </c>
      <c r="C750" s="27" t="s">
        <v>35</v>
      </c>
      <c r="D750" s="28" t="s">
        <v>36</v>
      </c>
      <c r="E750" s="27">
        <v>1.0</v>
      </c>
      <c r="F750" s="109" t="s">
        <v>35</v>
      </c>
      <c r="G750" s="27" t="s">
        <v>35</v>
      </c>
      <c r="H750" s="28" t="s">
        <v>35</v>
      </c>
      <c r="I750" s="70" t="str">
        <f t="shared" si="30"/>
        <v>N/A-GSB-N/A</v>
      </c>
      <c r="J750" s="31" t="s">
        <v>1157</v>
      </c>
      <c r="K750" s="27" t="s">
        <v>55</v>
      </c>
      <c r="L750" s="120">
        <v>46245.0</v>
      </c>
      <c r="M750" s="27" t="s">
        <v>60</v>
      </c>
      <c r="N750" s="2"/>
      <c r="O750" s="51"/>
      <c r="P750" s="93"/>
      <c r="Q750" s="38"/>
      <c r="R750" s="38"/>
      <c r="S750" s="38"/>
      <c r="T750" s="38"/>
      <c r="U750" s="38"/>
      <c r="V750" s="38"/>
    </row>
    <row r="751">
      <c r="A751" s="75">
        <v>46209.0</v>
      </c>
      <c r="B751" s="27" t="s">
        <v>438</v>
      </c>
      <c r="C751" s="27" t="s">
        <v>35</v>
      </c>
      <c r="D751" s="28" t="s">
        <v>36</v>
      </c>
      <c r="E751" s="27">
        <v>1.0</v>
      </c>
      <c r="F751" s="109" t="s">
        <v>35</v>
      </c>
      <c r="G751" s="27" t="s">
        <v>35</v>
      </c>
      <c r="H751" s="28" t="s">
        <v>35</v>
      </c>
      <c r="I751" s="70" t="str">
        <f t="shared" si="30"/>
        <v>N/A-GSB-N/A</v>
      </c>
      <c r="J751" s="31" t="s">
        <v>1157</v>
      </c>
      <c r="K751" s="27" t="s">
        <v>55</v>
      </c>
      <c r="L751" s="120">
        <v>46245.0</v>
      </c>
      <c r="M751" s="27" t="s">
        <v>60</v>
      </c>
      <c r="N751" s="2"/>
      <c r="O751" s="51"/>
      <c r="P751" s="93"/>
      <c r="Q751" s="38"/>
      <c r="R751" s="38"/>
      <c r="S751" s="38"/>
      <c r="T751" s="38"/>
      <c r="U751" s="38"/>
      <c r="V751" s="38"/>
    </row>
    <row r="752">
      <c r="A752" s="75">
        <v>46209.0</v>
      </c>
      <c r="B752" s="27" t="s">
        <v>438</v>
      </c>
      <c r="C752" s="27" t="s">
        <v>35</v>
      </c>
      <c r="D752" s="28" t="s">
        <v>36</v>
      </c>
      <c r="E752" s="27">
        <v>1.0</v>
      </c>
      <c r="F752" s="109" t="s">
        <v>35</v>
      </c>
      <c r="G752" s="27" t="s">
        <v>35</v>
      </c>
      <c r="H752" s="28" t="s">
        <v>35</v>
      </c>
      <c r="I752" s="70" t="str">
        <f t="shared" si="30"/>
        <v>N/A-GSB-N/A</v>
      </c>
      <c r="J752" s="31" t="s">
        <v>1157</v>
      </c>
      <c r="K752" s="27" t="s">
        <v>55</v>
      </c>
      <c r="L752" s="120">
        <v>46245.0</v>
      </c>
      <c r="M752" s="27" t="s">
        <v>60</v>
      </c>
      <c r="N752" s="2"/>
      <c r="O752" s="51"/>
      <c r="P752" s="93"/>
      <c r="Q752" s="38"/>
      <c r="R752" s="38"/>
      <c r="S752" s="38"/>
      <c r="T752" s="38"/>
      <c r="U752" s="38"/>
      <c r="V752" s="38"/>
    </row>
    <row r="753">
      <c r="A753" s="75">
        <v>46244.0</v>
      </c>
      <c r="B753" s="27" t="s">
        <v>1158</v>
      </c>
      <c r="C753" s="27" t="s">
        <v>168</v>
      </c>
      <c r="D753" s="28" t="s">
        <v>6</v>
      </c>
      <c r="E753" s="27">
        <v>1.0</v>
      </c>
      <c r="F753" s="27" t="s">
        <v>1159</v>
      </c>
      <c r="G753" s="27" t="s">
        <v>1160</v>
      </c>
      <c r="H753" s="28">
        <v>10449.0</v>
      </c>
      <c r="I753" s="70" t="str">
        <f t="shared" si="30"/>
        <v>10449-GSB-SDS/ 1026429</v>
      </c>
      <c r="J753" s="31" t="s">
        <v>1157</v>
      </c>
      <c r="K753" s="27" t="s">
        <v>55</v>
      </c>
      <c r="L753" s="120">
        <v>46245.0</v>
      </c>
      <c r="M753" s="27" t="s">
        <v>60</v>
      </c>
      <c r="N753" s="2">
        <v>3376.0</v>
      </c>
      <c r="O753" s="36" t="s">
        <v>1116</v>
      </c>
      <c r="P753" s="63">
        <v>46256.0</v>
      </c>
      <c r="Q753" s="38"/>
      <c r="R753" s="38"/>
      <c r="S753" s="38"/>
      <c r="T753" s="38"/>
      <c r="U753" s="38"/>
      <c r="V753" s="38"/>
    </row>
    <row r="754">
      <c r="A754" s="23">
        <v>45897.0</v>
      </c>
      <c r="B754" s="25">
        <v>2.093501849E9</v>
      </c>
      <c r="C754" s="25" t="s">
        <v>108</v>
      </c>
      <c r="D754" s="70" t="s">
        <v>43</v>
      </c>
      <c r="E754" s="25">
        <v>1.0</v>
      </c>
      <c r="F754" s="109" t="s">
        <v>35</v>
      </c>
      <c r="G754" s="25">
        <v>2.503380518E9</v>
      </c>
      <c r="H754" s="70">
        <v>7496.0</v>
      </c>
      <c r="I754" s="70" t="str">
        <f t="shared" si="30"/>
        <v>7496-GSB-N/A</v>
      </c>
      <c r="J754" s="31" t="s">
        <v>1157</v>
      </c>
      <c r="K754" s="27" t="s">
        <v>55</v>
      </c>
      <c r="L754" s="120">
        <v>46245.0</v>
      </c>
      <c r="M754" s="27" t="s">
        <v>60</v>
      </c>
      <c r="N754" s="2">
        <v>3376.0</v>
      </c>
      <c r="O754" s="36" t="s">
        <v>1116</v>
      </c>
      <c r="P754" s="63">
        <v>46256.0</v>
      </c>
      <c r="Q754" s="38"/>
      <c r="R754" s="38"/>
      <c r="S754" s="38"/>
      <c r="T754" s="38"/>
      <c r="U754" s="38"/>
      <c r="V754" s="38"/>
    </row>
    <row r="755">
      <c r="A755" s="23">
        <v>45897.0</v>
      </c>
      <c r="B755" s="25">
        <v>2.093501849E9</v>
      </c>
      <c r="C755" s="25" t="s">
        <v>108</v>
      </c>
      <c r="D755" s="70" t="s">
        <v>43</v>
      </c>
      <c r="E755" s="25">
        <v>1.0</v>
      </c>
      <c r="F755" s="109" t="s">
        <v>35</v>
      </c>
      <c r="G755" s="25">
        <v>2.503380766E9</v>
      </c>
      <c r="H755" s="70">
        <v>7500.0</v>
      </c>
      <c r="I755" s="70" t="str">
        <f t="shared" si="30"/>
        <v>7500-GSB-N/A</v>
      </c>
      <c r="J755" s="31" t="s">
        <v>1157</v>
      </c>
      <c r="K755" s="27" t="s">
        <v>55</v>
      </c>
      <c r="L755" s="120">
        <v>46245.0</v>
      </c>
      <c r="M755" s="27" t="s">
        <v>60</v>
      </c>
      <c r="N755" s="2">
        <v>3376.0</v>
      </c>
      <c r="O755" s="36" t="s">
        <v>1116</v>
      </c>
      <c r="P755" s="63">
        <v>46256.0</v>
      </c>
      <c r="Q755" s="38"/>
      <c r="R755" s="38"/>
      <c r="S755" s="38"/>
      <c r="T755" s="38"/>
      <c r="U755" s="38"/>
      <c r="V755" s="38"/>
    </row>
    <row r="756">
      <c r="A756" s="23">
        <v>45897.0</v>
      </c>
      <c r="B756" s="123">
        <v>46195.64381317129</v>
      </c>
      <c r="C756" s="25" t="s">
        <v>108</v>
      </c>
      <c r="D756" s="70" t="s">
        <v>43</v>
      </c>
      <c r="E756" s="25">
        <v>1.0</v>
      </c>
      <c r="F756" s="109" t="s">
        <v>35</v>
      </c>
      <c r="G756" s="25">
        <v>2.503380979E9</v>
      </c>
      <c r="H756" s="70">
        <v>7452.0</v>
      </c>
      <c r="I756" s="70" t="str">
        <f t="shared" si="30"/>
        <v>7452-GSB-N/A</v>
      </c>
      <c r="J756" s="31" t="s">
        <v>1157</v>
      </c>
      <c r="K756" s="27" t="s">
        <v>55</v>
      </c>
      <c r="L756" s="120">
        <v>46245.0</v>
      </c>
      <c r="M756" s="27" t="s">
        <v>60</v>
      </c>
      <c r="N756" s="2">
        <v>3376.0</v>
      </c>
      <c r="O756" s="36" t="s">
        <v>1116</v>
      </c>
      <c r="P756" s="63">
        <v>46256.0</v>
      </c>
      <c r="Q756" s="38"/>
      <c r="R756" s="38"/>
      <c r="S756" s="38"/>
      <c r="T756" s="38"/>
      <c r="U756" s="38"/>
      <c r="V756" s="38"/>
    </row>
    <row r="757">
      <c r="A757" s="120">
        <v>46225.0</v>
      </c>
      <c r="B757" s="27" t="s">
        <v>1153</v>
      </c>
      <c r="C757" s="27" t="s">
        <v>202</v>
      </c>
      <c r="D757" s="28" t="s">
        <v>45</v>
      </c>
      <c r="E757" s="27">
        <v>1.0</v>
      </c>
      <c r="F757" s="27" t="s">
        <v>1161</v>
      </c>
      <c r="G757" s="27" t="s">
        <v>1162</v>
      </c>
      <c r="H757" s="28">
        <v>10432.0</v>
      </c>
      <c r="I757" s="70" t="str">
        <f t="shared" si="30"/>
        <v>10432-GSB-SDS/1044236</v>
      </c>
      <c r="J757" s="31" t="s">
        <v>1157</v>
      </c>
      <c r="K757" s="27" t="s">
        <v>55</v>
      </c>
      <c r="L757" s="120">
        <v>46245.0</v>
      </c>
      <c r="M757" s="27" t="s">
        <v>60</v>
      </c>
      <c r="N757" s="2">
        <v>3376.0</v>
      </c>
      <c r="O757" s="36" t="s">
        <v>1116</v>
      </c>
      <c r="P757" s="63">
        <v>46256.0</v>
      </c>
      <c r="Q757" s="38"/>
      <c r="R757" s="38"/>
      <c r="S757" s="38"/>
      <c r="T757" s="38"/>
      <c r="U757" s="38"/>
      <c r="V757" s="38"/>
    </row>
    <row r="758">
      <c r="A758" s="120">
        <v>46225.0</v>
      </c>
      <c r="B758" s="27" t="s">
        <v>1153</v>
      </c>
      <c r="C758" s="27" t="s">
        <v>202</v>
      </c>
      <c r="D758" s="28" t="s">
        <v>45</v>
      </c>
      <c r="E758" s="27">
        <v>1.0</v>
      </c>
      <c r="F758" s="27" t="s">
        <v>1163</v>
      </c>
      <c r="G758" s="27" t="s">
        <v>1164</v>
      </c>
      <c r="H758" s="28">
        <v>10434.0</v>
      </c>
      <c r="I758" s="70" t="str">
        <f t="shared" si="30"/>
        <v>10434-GSB-SDS/1044235</v>
      </c>
      <c r="J758" s="31" t="s">
        <v>1157</v>
      </c>
      <c r="K758" s="27" t="s">
        <v>55</v>
      </c>
      <c r="L758" s="120">
        <v>46245.0</v>
      </c>
      <c r="M758" s="27" t="s">
        <v>60</v>
      </c>
      <c r="N758" s="2">
        <v>3376.0</v>
      </c>
      <c r="O758" s="36" t="s">
        <v>1116</v>
      </c>
      <c r="P758" s="63">
        <v>46256.0</v>
      </c>
      <c r="Q758" s="38"/>
      <c r="R758" s="38"/>
      <c r="S758" s="38"/>
      <c r="T758" s="38"/>
      <c r="U758" s="38"/>
      <c r="V758" s="38"/>
    </row>
    <row r="759">
      <c r="A759" s="75">
        <v>46209.0</v>
      </c>
      <c r="B759" s="27" t="s">
        <v>438</v>
      </c>
      <c r="C759" s="27" t="s">
        <v>35</v>
      </c>
      <c r="D759" s="28" t="s">
        <v>47</v>
      </c>
      <c r="E759" s="27">
        <v>1.0</v>
      </c>
      <c r="F759" s="109" t="s">
        <v>35</v>
      </c>
      <c r="G759" s="27" t="s">
        <v>35</v>
      </c>
      <c r="H759" s="28">
        <v>10419.0</v>
      </c>
      <c r="I759" s="70" t="str">
        <f t="shared" si="30"/>
        <v>10419-GSB-N/A</v>
      </c>
      <c r="J759" s="31" t="s">
        <v>1157</v>
      </c>
      <c r="K759" s="27" t="s">
        <v>55</v>
      </c>
      <c r="L759" s="120">
        <v>46245.0</v>
      </c>
      <c r="M759" s="27" t="s">
        <v>60</v>
      </c>
      <c r="N759" s="2">
        <v>3376.0</v>
      </c>
      <c r="O759" s="36" t="s">
        <v>1116</v>
      </c>
      <c r="P759" s="63">
        <v>46256.0</v>
      </c>
      <c r="Q759" s="38"/>
      <c r="R759" s="38"/>
      <c r="S759" s="38"/>
      <c r="T759" s="38"/>
      <c r="U759" s="38"/>
      <c r="V759" s="38"/>
    </row>
    <row r="760">
      <c r="A760" s="75">
        <v>46209.0</v>
      </c>
      <c r="B760" s="27" t="s">
        <v>438</v>
      </c>
      <c r="C760" s="27" t="s">
        <v>35</v>
      </c>
      <c r="D760" s="28" t="s">
        <v>47</v>
      </c>
      <c r="E760" s="27">
        <v>1.0</v>
      </c>
      <c r="F760" s="109" t="s">
        <v>35</v>
      </c>
      <c r="G760" s="27" t="s">
        <v>35</v>
      </c>
      <c r="H760" s="28">
        <v>10423.0</v>
      </c>
      <c r="I760" s="70" t="str">
        <f t="shared" si="30"/>
        <v>10423-GSB-N/A</v>
      </c>
      <c r="J760" s="31" t="s">
        <v>1157</v>
      </c>
      <c r="K760" s="27" t="s">
        <v>55</v>
      </c>
      <c r="L760" s="120">
        <v>46245.0</v>
      </c>
      <c r="M760" s="27" t="s">
        <v>60</v>
      </c>
      <c r="N760" s="2">
        <v>3376.0</v>
      </c>
      <c r="O760" s="36" t="s">
        <v>1116</v>
      </c>
      <c r="P760" s="63">
        <v>46256.0</v>
      </c>
      <c r="Q760" s="38"/>
      <c r="R760" s="38"/>
      <c r="S760" s="38"/>
      <c r="T760" s="38"/>
      <c r="U760" s="38"/>
      <c r="V760" s="38"/>
    </row>
    <row r="761">
      <c r="A761" s="75">
        <v>46184.0</v>
      </c>
      <c r="B761" s="27" t="s">
        <v>621</v>
      </c>
      <c r="C761" s="27" t="s">
        <v>617</v>
      </c>
      <c r="D761" s="28" t="s">
        <v>8</v>
      </c>
      <c r="E761" s="27">
        <v>1.0</v>
      </c>
      <c r="F761" s="27" t="s">
        <v>1165</v>
      </c>
      <c r="G761" s="109" t="s">
        <v>35</v>
      </c>
      <c r="H761" s="28">
        <v>10358.0</v>
      </c>
      <c r="I761" s="70" t="str">
        <f t="shared" si="30"/>
        <v>10358-GSB-SDS/1043465</v>
      </c>
      <c r="J761" s="31" t="s">
        <v>1157</v>
      </c>
      <c r="K761" s="27" t="s">
        <v>55</v>
      </c>
      <c r="L761" s="120">
        <v>46245.0</v>
      </c>
      <c r="M761" s="27" t="s">
        <v>60</v>
      </c>
      <c r="N761" s="2">
        <v>3376.0</v>
      </c>
      <c r="O761" s="36" t="s">
        <v>1116</v>
      </c>
      <c r="P761" s="63">
        <v>46256.0</v>
      </c>
      <c r="Q761" s="38"/>
      <c r="R761" s="38"/>
      <c r="S761" s="38"/>
      <c r="T761" s="38"/>
      <c r="U761" s="38"/>
      <c r="V761" s="38"/>
    </row>
    <row r="762">
      <c r="A762" s="75">
        <v>46184.0</v>
      </c>
      <c r="B762" s="27" t="s">
        <v>621</v>
      </c>
      <c r="C762" s="27" t="s">
        <v>617</v>
      </c>
      <c r="D762" s="28" t="s">
        <v>8</v>
      </c>
      <c r="E762" s="27">
        <v>1.0</v>
      </c>
      <c r="F762" s="27" t="s">
        <v>1166</v>
      </c>
      <c r="G762" s="109" t="s">
        <v>35</v>
      </c>
      <c r="H762" s="28">
        <v>10369.0</v>
      </c>
      <c r="I762" s="70" t="str">
        <f t="shared" si="30"/>
        <v>10369-GSB-SDS/1043493</v>
      </c>
      <c r="J762" s="31" t="s">
        <v>1157</v>
      </c>
      <c r="K762" s="27" t="s">
        <v>55</v>
      </c>
      <c r="L762" s="120">
        <v>46245.0</v>
      </c>
      <c r="M762" s="27" t="s">
        <v>60</v>
      </c>
      <c r="N762" s="2">
        <v>3376.0</v>
      </c>
      <c r="O762" s="36" t="s">
        <v>1116</v>
      </c>
      <c r="P762" s="63">
        <v>46256.0</v>
      </c>
      <c r="Q762" s="38"/>
      <c r="R762" s="38"/>
      <c r="S762" s="38"/>
      <c r="T762" s="38"/>
      <c r="U762" s="38"/>
      <c r="V762" s="38"/>
    </row>
    <row r="763">
      <c r="A763" s="75">
        <v>46184.0</v>
      </c>
      <c r="B763" s="27" t="s">
        <v>621</v>
      </c>
      <c r="C763" s="27" t="s">
        <v>327</v>
      </c>
      <c r="D763" s="28" t="s">
        <v>328</v>
      </c>
      <c r="E763" s="27">
        <v>1.0</v>
      </c>
      <c r="F763" s="27" t="s">
        <v>1167</v>
      </c>
      <c r="G763" s="27" t="s">
        <v>1168</v>
      </c>
      <c r="H763" s="28">
        <v>10375.0</v>
      </c>
      <c r="I763" s="70" t="str">
        <f t="shared" si="30"/>
        <v>10375-GSB-SDS/1027482</v>
      </c>
      <c r="J763" s="31" t="s">
        <v>1157</v>
      </c>
      <c r="K763" s="27" t="s">
        <v>55</v>
      </c>
      <c r="L763" s="120">
        <v>46245.0</v>
      </c>
      <c r="M763" s="27" t="s">
        <v>60</v>
      </c>
      <c r="N763" s="2">
        <v>3376.0</v>
      </c>
      <c r="O763" s="36" t="s">
        <v>1116</v>
      </c>
      <c r="P763" s="63">
        <v>46256.0</v>
      </c>
      <c r="Q763" s="38"/>
      <c r="R763" s="38"/>
      <c r="S763" s="38"/>
      <c r="T763" s="38"/>
      <c r="U763" s="38"/>
      <c r="V763" s="38"/>
    </row>
    <row r="764">
      <c r="A764" s="75">
        <v>46184.0</v>
      </c>
      <c r="B764" s="27" t="s">
        <v>621</v>
      </c>
      <c r="C764" s="27" t="s">
        <v>327</v>
      </c>
      <c r="D764" s="28" t="s">
        <v>328</v>
      </c>
      <c r="E764" s="27">
        <v>1.0</v>
      </c>
      <c r="F764" s="27" t="s">
        <v>1169</v>
      </c>
      <c r="G764" s="27" t="s">
        <v>1170</v>
      </c>
      <c r="H764" s="28">
        <v>10376.0</v>
      </c>
      <c r="I764" s="70" t="str">
        <f t="shared" si="30"/>
        <v>10376-GSB-SDS/1027458</v>
      </c>
      <c r="J764" s="31" t="s">
        <v>1157</v>
      </c>
      <c r="K764" s="27" t="s">
        <v>55</v>
      </c>
      <c r="L764" s="120">
        <v>46245.0</v>
      </c>
      <c r="M764" s="27" t="s">
        <v>60</v>
      </c>
      <c r="N764" s="2">
        <v>3376.0</v>
      </c>
      <c r="O764" s="36" t="s">
        <v>1116</v>
      </c>
      <c r="P764" s="63">
        <v>46256.0</v>
      </c>
      <c r="Q764" s="38"/>
      <c r="R764" s="38"/>
      <c r="S764" s="38"/>
      <c r="T764" s="38"/>
      <c r="U764" s="38"/>
      <c r="V764" s="38"/>
    </row>
    <row r="765">
      <c r="A765" s="75">
        <v>46184.0</v>
      </c>
      <c r="B765" s="27" t="s">
        <v>621</v>
      </c>
      <c r="C765" s="27" t="s">
        <v>327</v>
      </c>
      <c r="D765" s="28" t="s">
        <v>328</v>
      </c>
      <c r="E765" s="27">
        <v>1.0</v>
      </c>
      <c r="F765" s="27" t="s">
        <v>1171</v>
      </c>
      <c r="G765" s="27" t="s">
        <v>1172</v>
      </c>
      <c r="H765" s="125">
        <v>10377.0</v>
      </c>
      <c r="I765" s="70" t="str">
        <f t="shared" si="30"/>
        <v>10377-GSB-SDS/1027473</v>
      </c>
      <c r="J765" s="31" t="s">
        <v>1157</v>
      </c>
      <c r="K765" s="27" t="s">
        <v>55</v>
      </c>
      <c r="L765" s="120">
        <v>46245.0</v>
      </c>
      <c r="M765" s="27" t="s">
        <v>60</v>
      </c>
      <c r="N765" s="2"/>
      <c r="O765" s="51"/>
      <c r="P765" s="93"/>
      <c r="Q765" s="38"/>
      <c r="R765" s="38"/>
      <c r="S765" s="38"/>
      <c r="T765" s="38"/>
      <c r="U765" s="38"/>
      <c r="V765" s="38"/>
    </row>
    <row r="766">
      <c r="A766" s="75">
        <v>46184.0</v>
      </c>
      <c r="B766" s="27" t="s">
        <v>621</v>
      </c>
      <c r="C766" s="27" t="s">
        <v>327</v>
      </c>
      <c r="D766" s="28" t="s">
        <v>328</v>
      </c>
      <c r="E766" s="27">
        <v>1.0</v>
      </c>
      <c r="F766" s="27" t="s">
        <v>1173</v>
      </c>
      <c r="G766" s="27" t="s">
        <v>1174</v>
      </c>
      <c r="H766" s="28">
        <v>5860.0</v>
      </c>
      <c r="I766" s="70" t="str">
        <f t="shared" si="30"/>
        <v>5860-GSB-SDS/1037027</v>
      </c>
      <c r="J766" s="31" t="s">
        <v>1157</v>
      </c>
      <c r="K766" s="27" t="s">
        <v>55</v>
      </c>
      <c r="L766" s="120">
        <v>46245.0</v>
      </c>
      <c r="M766" s="27" t="s">
        <v>60</v>
      </c>
      <c r="N766" s="2">
        <v>3376.0</v>
      </c>
      <c r="O766" s="36" t="s">
        <v>1116</v>
      </c>
      <c r="P766" s="63">
        <v>46256.0</v>
      </c>
      <c r="Q766" s="38"/>
      <c r="R766" s="38"/>
      <c r="S766" s="38"/>
      <c r="T766" s="38"/>
      <c r="U766" s="38"/>
      <c r="V766" s="38"/>
    </row>
    <row r="767">
      <c r="A767" s="75">
        <v>46184.0</v>
      </c>
      <c r="B767" s="27" t="s">
        <v>621</v>
      </c>
      <c r="C767" s="27" t="s">
        <v>327</v>
      </c>
      <c r="D767" s="28" t="s">
        <v>328</v>
      </c>
      <c r="E767" s="27">
        <v>1.0</v>
      </c>
      <c r="F767" s="27" t="s">
        <v>1175</v>
      </c>
      <c r="G767" s="27" t="s">
        <v>1176</v>
      </c>
      <c r="H767" s="28">
        <v>4168.0</v>
      </c>
      <c r="I767" s="70" t="str">
        <f t="shared" si="30"/>
        <v>4168-GSB-SDS/1032227</v>
      </c>
      <c r="J767" s="31" t="s">
        <v>1157</v>
      </c>
      <c r="K767" s="27" t="s">
        <v>55</v>
      </c>
      <c r="L767" s="120">
        <v>46245.0</v>
      </c>
      <c r="M767" s="27" t="s">
        <v>60</v>
      </c>
      <c r="N767" s="2">
        <v>3376.0</v>
      </c>
      <c r="O767" s="36" t="s">
        <v>1116</v>
      </c>
      <c r="P767" s="63">
        <v>46256.0</v>
      </c>
      <c r="Q767" s="38"/>
      <c r="R767" s="38"/>
      <c r="S767" s="38"/>
      <c r="T767" s="38"/>
      <c r="U767" s="38"/>
      <c r="V767" s="38"/>
    </row>
    <row r="768">
      <c r="A768" s="75">
        <v>46244.0</v>
      </c>
      <c r="B768" s="27" t="s">
        <v>1158</v>
      </c>
      <c r="C768" s="27" t="s">
        <v>362</v>
      </c>
      <c r="D768" s="28" t="s">
        <v>54</v>
      </c>
      <c r="E768" s="27">
        <v>1.0</v>
      </c>
      <c r="F768" s="27" t="s">
        <v>1177</v>
      </c>
      <c r="G768" s="27" t="s">
        <v>1178</v>
      </c>
      <c r="H768" s="28">
        <v>2477.0</v>
      </c>
      <c r="I768" s="70" t="str">
        <f t="shared" si="30"/>
        <v>2477-GSB-SDS1037070</v>
      </c>
      <c r="J768" s="31" t="s">
        <v>1157</v>
      </c>
      <c r="K768" s="27" t="s">
        <v>55</v>
      </c>
      <c r="L768" s="120">
        <v>46245.0</v>
      </c>
      <c r="M768" s="27" t="s">
        <v>60</v>
      </c>
      <c r="N768" s="2">
        <v>3365.0</v>
      </c>
      <c r="O768" s="36" t="s">
        <v>1116</v>
      </c>
      <c r="P768" s="63">
        <v>46256.0</v>
      </c>
      <c r="Q768" s="38"/>
      <c r="R768" s="38"/>
      <c r="S768" s="38"/>
      <c r="T768" s="38"/>
      <c r="U768" s="38"/>
      <c r="V768" s="38"/>
    </row>
    <row r="769">
      <c r="A769" s="23">
        <v>45530.60907740741</v>
      </c>
      <c r="B769" s="25">
        <v>44430.0</v>
      </c>
      <c r="C769" s="25" t="s">
        <v>257</v>
      </c>
      <c r="D769" s="70" t="s">
        <v>57</v>
      </c>
      <c r="E769" s="25">
        <v>1.0</v>
      </c>
      <c r="F769" s="109" t="s">
        <v>35</v>
      </c>
      <c r="G769" s="109" t="s">
        <v>35</v>
      </c>
      <c r="H769" s="70">
        <v>8480.0</v>
      </c>
      <c r="I769" s="70" t="str">
        <f t="shared" si="30"/>
        <v>8480-GSB-N/A</v>
      </c>
      <c r="J769" s="31" t="s">
        <v>1157</v>
      </c>
      <c r="K769" s="27" t="s">
        <v>55</v>
      </c>
      <c r="L769" s="120">
        <v>46245.0</v>
      </c>
      <c r="M769" s="27" t="s">
        <v>60</v>
      </c>
      <c r="N769" s="2">
        <v>3370.0</v>
      </c>
      <c r="O769" s="36" t="s">
        <v>1179</v>
      </c>
      <c r="P769" s="63">
        <v>46253.0</v>
      </c>
      <c r="Q769" s="38"/>
      <c r="R769" s="38"/>
      <c r="S769" s="38"/>
      <c r="T769" s="38"/>
      <c r="U769" s="38"/>
      <c r="V769" s="38"/>
    </row>
    <row r="770">
      <c r="A770" s="23">
        <v>45530.60907740741</v>
      </c>
      <c r="B770" s="25">
        <v>44430.0</v>
      </c>
      <c r="C770" s="25" t="s">
        <v>257</v>
      </c>
      <c r="D770" s="70" t="s">
        <v>57</v>
      </c>
      <c r="E770" s="25">
        <v>1.0</v>
      </c>
      <c r="F770" s="109" t="s">
        <v>35</v>
      </c>
      <c r="G770" s="109" t="s">
        <v>35</v>
      </c>
      <c r="H770" s="70">
        <v>8490.0</v>
      </c>
      <c r="I770" s="70" t="str">
        <f t="shared" si="30"/>
        <v>8490-GSB-N/A</v>
      </c>
      <c r="J770" s="31" t="s">
        <v>1157</v>
      </c>
      <c r="K770" s="27" t="s">
        <v>55</v>
      </c>
      <c r="L770" s="120">
        <v>46245.0</v>
      </c>
      <c r="M770" s="27" t="s">
        <v>60</v>
      </c>
      <c r="N770" s="2">
        <v>3376.0</v>
      </c>
      <c r="O770" s="36" t="s">
        <v>1116</v>
      </c>
      <c r="P770" s="63">
        <v>46256.0</v>
      </c>
      <c r="Q770" s="38"/>
      <c r="R770" s="38"/>
      <c r="S770" s="38"/>
      <c r="T770" s="38"/>
      <c r="U770" s="38"/>
      <c r="V770" s="38"/>
    </row>
    <row r="771">
      <c r="A771" s="23">
        <v>45530.60907740741</v>
      </c>
      <c r="B771" s="25">
        <v>44430.0</v>
      </c>
      <c r="C771" s="25" t="s">
        <v>257</v>
      </c>
      <c r="D771" s="70" t="s">
        <v>57</v>
      </c>
      <c r="E771" s="25">
        <v>1.0</v>
      </c>
      <c r="F771" s="109" t="s">
        <v>35</v>
      </c>
      <c r="G771" s="109" t="s">
        <v>35</v>
      </c>
      <c r="H771" s="70">
        <v>8564.0</v>
      </c>
      <c r="I771" s="70" t="str">
        <f t="shared" si="30"/>
        <v>8564-GSB-N/A</v>
      </c>
      <c r="J771" s="31" t="s">
        <v>1157</v>
      </c>
      <c r="K771" s="27" t="s">
        <v>55</v>
      </c>
      <c r="L771" s="120">
        <v>46245.0</v>
      </c>
      <c r="M771" s="27" t="s">
        <v>60</v>
      </c>
      <c r="N771" s="2">
        <v>3370.0</v>
      </c>
      <c r="O771" s="36" t="s">
        <v>1179</v>
      </c>
      <c r="P771" s="63">
        <v>46253.0</v>
      </c>
      <c r="Q771" s="38"/>
      <c r="R771" s="38"/>
      <c r="S771" s="38"/>
      <c r="T771" s="38"/>
      <c r="U771" s="38"/>
      <c r="V771" s="38"/>
    </row>
    <row r="772">
      <c r="A772" s="75">
        <v>46209.0</v>
      </c>
      <c r="B772" s="27" t="s">
        <v>438</v>
      </c>
      <c r="C772" s="27" t="s">
        <v>35</v>
      </c>
      <c r="D772" s="28" t="s">
        <v>64</v>
      </c>
      <c r="E772" s="27">
        <v>1.0</v>
      </c>
      <c r="F772" s="109" t="s">
        <v>35</v>
      </c>
      <c r="G772" s="27" t="s">
        <v>35</v>
      </c>
      <c r="H772" s="28">
        <v>10427.0</v>
      </c>
      <c r="I772" s="70" t="str">
        <f t="shared" si="30"/>
        <v>10427-GSB-N/A</v>
      </c>
      <c r="J772" s="31" t="s">
        <v>1157</v>
      </c>
      <c r="K772" s="27" t="s">
        <v>55</v>
      </c>
      <c r="L772" s="120">
        <v>46245.0</v>
      </c>
      <c r="M772" s="27" t="s">
        <v>60</v>
      </c>
      <c r="N772" s="2">
        <v>3370.0</v>
      </c>
      <c r="O772" s="36" t="s">
        <v>1179</v>
      </c>
      <c r="P772" s="63">
        <v>46253.0</v>
      </c>
      <c r="Q772" s="38"/>
      <c r="R772" s="38"/>
      <c r="S772" s="38"/>
      <c r="T772" s="38"/>
      <c r="U772" s="38"/>
      <c r="V772" s="38"/>
    </row>
    <row r="773">
      <c r="A773" s="23">
        <v>45897.0</v>
      </c>
      <c r="B773" s="25">
        <v>2.093501849E9</v>
      </c>
      <c r="C773" s="27" t="s">
        <v>352</v>
      </c>
      <c r="D773" s="28" t="s">
        <v>59</v>
      </c>
      <c r="E773" s="27">
        <v>1.0</v>
      </c>
      <c r="F773" s="109" t="s">
        <v>35</v>
      </c>
      <c r="G773" s="27" t="s">
        <v>1180</v>
      </c>
      <c r="H773" s="28">
        <v>4293.0</v>
      </c>
      <c r="I773" s="70" t="str">
        <f t="shared" si="30"/>
        <v>4293-GSB-N/A</v>
      </c>
      <c r="J773" s="31" t="s">
        <v>1143</v>
      </c>
      <c r="K773" s="27" t="s">
        <v>1181</v>
      </c>
      <c r="L773" s="120">
        <v>46246.0</v>
      </c>
      <c r="M773" s="27" t="s">
        <v>60</v>
      </c>
      <c r="N773" s="2">
        <v>3408.0</v>
      </c>
      <c r="O773" s="36" t="s">
        <v>1143</v>
      </c>
      <c r="P773" s="63">
        <v>46245.0</v>
      </c>
      <c r="Q773" s="38"/>
      <c r="R773" s="38"/>
      <c r="S773" s="38"/>
      <c r="T773" s="38"/>
      <c r="U773" s="38"/>
      <c r="V773" s="38"/>
    </row>
    <row r="774">
      <c r="A774" s="75">
        <v>46247.0</v>
      </c>
      <c r="B774" s="27" t="s">
        <v>35</v>
      </c>
      <c r="C774" s="27" t="s">
        <v>35</v>
      </c>
      <c r="D774" s="28" t="s">
        <v>328</v>
      </c>
      <c r="E774" s="27">
        <v>1.0</v>
      </c>
      <c r="F774" s="109" t="s">
        <v>1182</v>
      </c>
      <c r="G774" s="27" t="s">
        <v>1183</v>
      </c>
      <c r="H774" s="28">
        <v>1270.0</v>
      </c>
      <c r="I774" s="70" t="str">
        <f t="shared" si="30"/>
        <v>1270-GSB-SDS/1027418</v>
      </c>
      <c r="J774" s="31" t="s">
        <v>1184</v>
      </c>
      <c r="K774" s="27" t="s">
        <v>152</v>
      </c>
      <c r="L774" s="27" t="s">
        <v>1185</v>
      </c>
      <c r="M774" s="27" t="s">
        <v>60</v>
      </c>
      <c r="N774" s="2">
        <v>3089.0</v>
      </c>
      <c r="O774" s="36" t="s">
        <v>752</v>
      </c>
      <c r="P774" s="63">
        <v>46247.0</v>
      </c>
      <c r="Q774" s="38"/>
      <c r="R774" s="38"/>
      <c r="S774" s="38"/>
      <c r="T774" s="38"/>
      <c r="U774" s="38"/>
      <c r="V774" s="38"/>
    </row>
    <row r="775">
      <c r="A775" s="126">
        <v>46209.0</v>
      </c>
      <c r="B775" s="127" t="s">
        <v>438</v>
      </c>
      <c r="C775" s="127" t="s">
        <v>35</v>
      </c>
      <c r="D775" s="128" t="s">
        <v>64</v>
      </c>
      <c r="E775" s="127">
        <v>1.0</v>
      </c>
      <c r="F775" s="129" t="s">
        <v>35</v>
      </c>
      <c r="G775" s="127" t="s">
        <v>35</v>
      </c>
      <c r="H775" s="128">
        <v>10431.0</v>
      </c>
      <c r="I775" s="130" t="str">
        <f t="shared" si="30"/>
        <v>10431-GSB-N/A</v>
      </c>
      <c r="J775" s="131" t="s">
        <v>1186</v>
      </c>
      <c r="K775" s="127" t="s">
        <v>152</v>
      </c>
      <c r="L775" s="132">
        <v>46252.0</v>
      </c>
      <c r="M775" s="127" t="s">
        <v>60</v>
      </c>
      <c r="N775" s="2"/>
      <c r="O775" s="36"/>
      <c r="P775" s="63"/>
      <c r="Q775" s="38"/>
      <c r="R775" s="38"/>
      <c r="S775" s="38"/>
      <c r="T775" s="38"/>
      <c r="U775" s="38"/>
      <c r="V775" s="38"/>
    </row>
    <row r="776">
      <c r="A776" s="126">
        <v>46209.0</v>
      </c>
      <c r="B776" s="127" t="s">
        <v>438</v>
      </c>
      <c r="C776" s="127" t="s">
        <v>35</v>
      </c>
      <c r="D776" s="128" t="s">
        <v>31</v>
      </c>
      <c r="E776" s="127">
        <v>1.0</v>
      </c>
      <c r="F776" s="129" t="s">
        <v>35</v>
      </c>
      <c r="G776" s="127" t="s">
        <v>35</v>
      </c>
      <c r="H776" s="128">
        <v>10391.0</v>
      </c>
      <c r="I776" s="130" t="str">
        <f t="shared" si="30"/>
        <v>10391-GSB-N/A</v>
      </c>
      <c r="J776" s="131" t="s">
        <v>1186</v>
      </c>
      <c r="K776" s="127" t="s">
        <v>152</v>
      </c>
      <c r="L776" s="132">
        <v>46252.0</v>
      </c>
      <c r="M776" s="127" t="s">
        <v>60</v>
      </c>
      <c r="N776" s="2"/>
      <c r="O776" s="36"/>
      <c r="P776" s="63"/>
      <c r="Q776" s="38"/>
      <c r="R776" s="38"/>
      <c r="S776" s="38"/>
      <c r="T776" s="38"/>
      <c r="U776" s="38"/>
      <c r="V776" s="38"/>
    </row>
    <row r="777">
      <c r="A777" s="126">
        <v>46209.0</v>
      </c>
      <c r="B777" s="127" t="s">
        <v>438</v>
      </c>
      <c r="C777" s="127" t="s">
        <v>35</v>
      </c>
      <c r="D777" s="128" t="s">
        <v>31</v>
      </c>
      <c r="E777" s="127">
        <v>1.0</v>
      </c>
      <c r="F777" s="129" t="s">
        <v>35</v>
      </c>
      <c r="G777" s="127" t="s">
        <v>35</v>
      </c>
      <c r="H777" s="128">
        <v>10392.0</v>
      </c>
      <c r="I777" s="130" t="str">
        <f t="shared" si="30"/>
        <v>10392-GSB-N/A</v>
      </c>
      <c r="J777" s="131" t="s">
        <v>1186</v>
      </c>
      <c r="K777" s="127" t="s">
        <v>152</v>
      </c>
      <c r="L777" s="132">
        <v>46252.0</v>
      </c>
      <c r="M777" s="127" t="s">
        <v>60</v>
      </c>
      <c r="N777" s="2"/>
      <c r="O777" s="36"/>
      <c r="P777" s="63"/>
      <c r="Q777" s="38"/>
      <c r="R777" s="38"/>
      <c r="S777" s="38"/>
      <c r="T777" s="38"/>
      <c r="U777" s="38"/>
      <c r="V777" s="38"/>
    </row>
    <row r="778">
      <c r="A778" s="126">
        <v>46184.0</v>
      </c>
      <c r="B778" s="127" t="s">
        <v>35</v>
      </c>
      <c r="C778" s="127" t="s">
        <v>35</v>
      </c>
      <c r="D778" s="128" t="s">
        <v>333</v>
      </c>
      <c r="E778" s="127">
        <v>1.0</v>
      </c>
      <c r="F778" s="129" t="s">
        <v>35</v>
      </c>
      <c r="G778" s="127" t="s">
        <v>35</v>
      </c>
      <c r="H778" s="128">
        <v>10247.0</v>
      </c>
      <c r="I778" s="130" t="str">
        <f t="shared" si="30"/>
        <v>10247-GSB-N/A</v>
      </c>
      <c r="J778" s="131" t="s">
        <v>1186</v>
      </c>
      <c r="K778" s="127" t="s">
        <v>152</v>
      </c>
      <c r="L778" s="132">
        <v>46252.0</v>
      </c>
      <c r="M778" s="127" t="s">
        <v>60</v>
      </c>
      <c r="N778" s="2"/>
      <c r="O778" s="36"/>
      <c r="P778" s="63"/>
      <c r="Q778" s="38"/>
      <c r="R778" s="38"/>
      <c r="S778" s="38"/>
      <c r="T778" s="38"/>
      <c r="U778" s="38"/>
      <c r="V778" s="38"/>
    </row>
    <row r="779">
      <c r="A779" s="75">
        <v>46253.0</v>
      </c>
      <c r="B779" s="27"/>
      <c r="C779" s="27" t="s">
        <v>977</v>
      </c>
      <c r="D779" s="28" t="s">
        <v>64</v>
      </c>
      <c r="E779" s="27">
        <v>1.0</v>
      </c>
      <c r="F779" s="109" t="s">
        <v>35</v>
      </c>
      <c r="G779" s="27" t="s">
        <v>35</v>
      </c>
      <c r="H779" s="28">
        <v>10451.0</v>
      </c>
      <c r="I779" s="25" t="str">
        <f t="shared" si="30"/>
        <v>10451-GSB-N/A</v>
      </c>
      <c r="J779" s="31" t="s">
        <v>1187</v>
      </c>
      <c r="K779" s="27" t="s">
        <v>55</v>
      </c>
      <c r="L779" s="120">
        <v>46253.0</v>
      </c>
      <c r="M779" s="27" t="s">
        <v>60</v>
      </c>
      <c r="N779" s="2">
        <v>3371.0</v>
      </c>
      <c r="O779" s="36" t="s">
        <v>1188</v>
      </c>
      <c r="P779" s="63">
        <v>46253.0</v>
      </c>
      <c r="Q779" s="38"/>
      <c r="R779" s="38"/>
      <c r="S779" s="38"/>
      <c r="T779" s="38"/>
      <c r="U779" s="38"/>
      <c r="V779" s="38"/>
    </row>
    <row r="780">
      <c r="A780" s="75">
        <v>46253.0</v>
      </c>
      <c r="B780" s="27" t="s">
        <v>1189</v>
      </c>
      <c r="C780" s="27" t="s">
        <v>35</v>
      </c>
      <c r="D780" s="28" t="s">
        <v>31</v>
      </c>
      <c r="E780" s="27">
        <v>1.0</v>
      </c>
      <c r="F780" s="109" t="s">
        <v>35</v>
      </c>
      <c r="G780" s="27" t="s">
        <v>35</v>
      </c>
      <c r="H780" s="28">
        <v>10452.0</v>
      </c>
      <c r="I780" s="25" t="str">
        <f t="shared" si="30"/>
        <v>10452-GSB-N/A</v>
      </c>
      <c r="J780" s="31" t="s">
        <v>1190</v>
      </c>
      <c r="K780" s="27" t="s">
        <v>270</v>
      </c>
      <c r="L780" s="120">
        <v>46253.0</v>
      </c>
      <c r="M780" s="27" t="s">
        <v>60</v>
      </c>
      <c r="N780" s="2">
        <v>3271.0</v>
      </c>
      <c r="O780" s="36" t="s">
        <v>1191</v>
      </c>
      <c r="P780" s="63">
        <v>46253.0</v>
      </c>
      <c r="Q780" s="38"/>
      <c r="R780" s="38"/>
      <c r="S780" s="38"/>
      <c r="T780" s="38"/>
      <c r="U780" s="38"/>
      <c r="V780" s="38"/>
    </row>
    <row r="781">
      <c r="A781" s="75">
        <v>46253.0</v>
      </c>
      <c r="B781" s="27" t="s">
        <v>1189</v>
      </c>
      <c r="C781" s="27" t="s">
        <v>35</v>
      </c>
      <c r="D781" s="28" t="s">
        <v>31</v>
      </c>
      <c r="E781" s="27">
        <v>1.0</v>
      </c>
      <c r="F781" s="109" t="s">
        <v>35</v>
      </c>
      <c r="G781" s="27" t="s">
        <v>35</v>
      </c>
      <c r="H781" s="28">
        <v>10453.0</v>
      </c>
      <c r="I781" s="25" t="str">
        <f t="shared" si="30"/>
        <v>10453-GSB-N/A</v>
      </c>
      <c r="J781" s="31" t="s">
        <v>1190</v>
      </c>
      <c r="K781" s="27" t="s">
        <v>270</v>
      </c>
      <c r="L781" s="120">
        <v>46253.0</v>
      </c>
      <c r="M781" s="27" t="s">
        <v>60</v>
      </c>
      <c r="N781" s="2">
        <v>3271.0</v>
      </c>
      <c r="O781" s="36" t="s">
        <v>1191</v>
      </c>
      <c r="P781" s="63">
        <v>46253.0</v>
      </c>
      <c r="Q781" s="38"/>
      <c r="R781" s="38"/>
      <c r="S781" s="38"/>
      <c r="T781" s="38"/>
      <c r="U781" s="38"/>
      <c r="V781" s="38"/>
    </row>
    <row r="782">
      <c r="A782" s="75">
        <v>46255.0</v>
      </c>
      <c r="B782" s="27" t="s">
        <v>35</v>
      </c>
      <c r="C782" s="27" t="s">
        <v>35</v>
      </c>
      <c r="D782" s="28" t="s">
        <v>766</v>
      </c>
      <c r="E782" s="27">
        <v>1.0</v>
      </c>
      <c r="F782" s="109" t="s">
        <v>35</v>
      </c>
      <c r="G782" s="27" t="s">
        <v>35</v>
      </c>
      <c r="H782" s="28">
        <v>10454.0</v>
      </c>
      <c r="I782" s="25" t="str">
        <f t="shared" si="30"/>
        <v>10454-GSB-N/A</v>
      </c>
      <c r="J782" s="31" t="s">
        <v>1192</v>
      </c>
      <c r="K782" s="27" t="s">
        <v>152</v>
      </c>
      <c r="L782" s="120">
        <v>46254.0</v>
      </c>
      <c r="M782" s="27" t="s">
        <v>139</v>
      </c>
      <c r="N782" s="2">
        <v>3093.0</v>
      </c>
      <c r="O782" s="36" t="s">
        <v>1192</v>
      </c>
      <c r="P782" s="63">
        <v>46254.0</v>
      </c>
      <c r="Q782" s="38"/>
      <c r="R782" s="38"/>
      <c r="S782" s="38"/>
      <c r="T782" s="38"/>
      <c r="U782" s="38"/>
      <c r="V782" s="38"/>
    </row>
    <row r="783">
      <c r="A783" s="75">
        <v>46253.0</v>
      </c>
      <c r="B783" s="27" t="s">
        <v>35</v>
      </c>
      <c r="C783" s="27" t="s">
        <v>108</v>
      </c>
      <c r="D783" s="28" t="s">
        <v>43</v>
      </c>
      <c r="E783" s="27">
        <v>1.0</v>
      </c>
      <c r="F783" s="27" t="s">
        <v>1193</v>
      </c>
      <c r="G783" s="27" t="s">
        <v>35</v>
      </c>
      <c r="H783" s="28">
        <v>10498.0</v>
      </c>
      <c r="I783" s="25" t="str">
        <f>CONCATENATE(H783,"-","GSB","-",G783)</f>
        <v>10498-GSB-N/A</v>
      </c>
      <c r="J783" s="31" t="s">
        <v>1194</v>
      </c>
      <c r="K783" s="27" t="s">
        <v>55</v>
      </c>
      <c r="L783" s="120">
        <v>46259.0</v>
      </c>
      <c r="M783" s="27" t="s">
        <v>139</v>
      </c>
      <c r="N783" s="2">
        <v>3379.0</v>
      </c>
      <c r="O783" s="36" t="s">
        <v>1195</v>
      </c>
      <c r="P783" s="63">
        <v>46260.0</v>
      </c>
      <c r="Q783" s="38"/>
      <c r="R783" s="38"/>
      <c r="S783" s="38"/>
      <c r="T783" s="38"/>
      <c r="U783" s="38"/>
      <c r="V783" s="38"/>
    </row>
    <row r="784">
      <c r="A784" s="23">
        <v>45530.60907740741</v>
      </c>
      <c r="B784" s="25">
        <v>44430.0</v>
      </c>
      <c r="C784" s="25" t="s">
        <v>257</v>
      </c>
      <c r="D784" s="70" t="s">
        <v>57</v>
      </c>
      <c r="E784" s="25">
        <v>1.0</v>
      </c>
      <c r="F784" s="109" t="s">
        <v>35</v>
      </c>
      <c r="G784" s="109" t="s">
        <v>35</v>
      </c>
      <c r="H784" s="70">
        <v>8549.0</v>
      </c>
      <c r="I784" s="25" t="str">
        <f t="shared" ref="I784:I800" si="31">CONCATENATE(H784,"-","GSB","-",F784)</f>
        <v>8549-GSB-N/A</v>
      </c>
      <c r="J784" s="31" t="s">
        <v>1194</v>
      </c>
      <c r="K784" s="27" t="s">
        <v>55</v>
      </c>
      <c r="L784" s="120">
        <v>46259.0</v>
      </c>
      <c r="M784" s="27" t="s">
        <v>139</v>
      </c>
      <c r="N784" s="2">
        <v>3379.0</v>
      </c>
      <c r="O784" s="36" t="s">
        <v>1195</v>
      </c>
      <c r="P784" s="63">
        <v>46260.0</v>
      </c>
      <c r="Q784" s="38"/>
      <c r="R784" s="38"/>
      <c r="S784" s="38"/>
      <c r="T784" s="38"/>
      <c r="U784" s="38"/>
      <c r="V784" s="38"/>
    </row>
    <row r="785">
      <c r="A785" s="75">
        <v>46184.0</v>
      </c>
      <c r="B785" s="27">
        <v>59889.0</v>
      </c>
      <c r="C785" s="27">
        <v>4.998114565E9</v>
      </c>
      <c r="D785" s="28" t="s">
        <v>2</v>
      </c>
      <c r="E785" s="27">
        <v>1.0</v>
      </c>
      <c r="F785" s="27" t="s">
        <v>1196</v>
      </c>
      <c r="G785" s="109" t="s">
        <v>35</v>
      </c>
      <c r="H785" s="92">
        <v>10306.0</v>
      </c>
      <c r="I785" s="25" t="str">
        <f t="shared" si="31"/>
        <v>10306-GSB-SDS-1043609</v>
      </c>
      <c r="J785" s="31" t="s">
        <v>1197</v>
      </c>
      <c r="K785" s="27" t="s">
        <v>453</v>
      </c>
      <c r="L785" s="120">
        <v>46259.0</v>
      </c>
      <c r="M785" s="27" t="s">
        <v>139</v>
      </c>
      <c r="N785" s="2"/>
      <c r="O785" s="51"/>
      <c r="P785" s="93"/>
      <c r="Q785" s="38"/>
      <c r="R785" s="38"/>
      <c r="S785" s="38"/>
      <c r="T785" s="38"/>
      <c r="U785" s="38"/>
      <c r="V785" s="38"/>
    </row>
    <row r="786">
      <c r="A786" s="75">
        <v>46209.0</v>
      </c>
      <c r="B786" s="27" t="s">
        <v>438</v>
      </c>
      <c r="C786" s="27" t="s">
        <v>35</v>
      </c>
      <c r="D786" s="28" t="s">
        <v>36</v>
      </c>
      <c r="E786" s="27">
        <v>1.0</v>
      </c>
      <c r="F786" s="109" t="s">
        <v>35</v>
      </c>
      <c r="G786" s="27" t="s">
        <v>35</v>
      </c>
      <c r="H786" s="28" t="s">
        <v>35</v>
      </c>
      <c r="I786" s="25" t="str">
        <f t="shared" si="31"/>
        <v>N/A-GSB-N/A</v>
      </c>
      <c r="J786" s="31" t="s">
        <v>1197</v>
      </c>
      <c r="K786" s="27" t="s">
        <v>453</v>
      </c>
      <c r="L786" s="120">
        <v>46259.0</v>
      </c>
      <c r="M786" s="27" t="s">
        <v>139</v>
      </c>
      <c r="N786" s="2"/>
      <c r="O786" s="51"/>
      <c r="P786" s="93"/>
      <c r="Q786" s="38"/>
      <c r="R786" s="38"/>
      <c r="S786" s="38"/>
      <c r="T786" s="38"/>
      <c r="U786" s="38"/>
      <c r="V786" s="38"/>
    </row>
    <row r="787">
      <c r="A787" s="75">
        <v>46209.0</v>
      </c>
      <c r="B787" s="27" t="s">
        <v>438</v>
      </c>
      <c r="C787" s="27" t="s">
        <v>35</v>
      </c>
      <c r="D787" s="28" t="s">
        <v>36</v>
      </c>
      <c r="E787" s="27">
        <v>1.0</v>
      </c>
      <c r="F787" s="109" t="s">
        <v>35</v>
      </c>
      <c r="G787" s="27" t="s">
        <v>35</v>
      </c>
      <c r="H787" s="28" t="s">
        <v>35</v>
      </c>
      <c r="I787" s="25" t="str">
        <f t="shared" si="31"/>
        <v>N/A-GSB-N/A</v>
      </c>
      <c r="J787" s="31" t="s">
        <v>1197</v>
      </c>
      <c r="K787" s="27" t="s">
        <v>453</v>
      </c>
      <c r="L787" s="120">
        <v>46259.0</v>
      </c>
      <c r="M787" s="27" t="s">
        <v>139</v>
      </c>
      <c r="N787" s="2"/>
      <c r="O787" s="51"/>
      <c r="P787" s="93"/>
      <c r="Q787" s="38"/>
      <c r="R787" s="38"/>
      <c r="S787" s="38"/>
      <c r="T787" s="38"/>
      <c r="U787" s="38"/>
      <c r="V787" s="38"/>
    </row>
    <row r="788">
      <c r="A788" s="75">
        <v>46209.0</v>
      </c>
      <c r="B788" s="27" t="s">
        <v>438</v>
      </c>
      <c r="C788" s="27" t="s">
        <v>35</v>
      </c>
      <c r="D788" s="28" t="s">
        <v>36</v>
      </c>
      <c r="E788" s="27">
        <v>1.0</v>
      </c>
      <c r="F788" s="109" t="s">
        <v>35</v>
      </c>
      <c r="G788" s="27" t="s">
        <v>35</v>
      </c>
      <c r="H788" s="28" t="s">
        <v>35</v>
      </c>
      <c r="I788" s="25" t="str">
        <f t="shared" si="31"/>
        <v>N/A-GSB-N/A</v>
      </c>
      <c r="J788" s="31" t="s">
        <v>1197</v>
      </c>
      <c r="K788" s="27" t="s">
        <v>453</v>
      </c>
      <c r="L788" s="120">
        <v>46259.0</v>
      </c>
      <c r="M788" s="27" t="s">
        <v>139</v>
      </c>
      <c r="N788" s="2"/>
      <c r="O788" s="51"/>
      <c r="P788" s="93"/>
      <c r="Q788" s="38"/>
      <c r="R788" s="38"/>
      <c r="S788" s="38"/>
      <c r="T788" s="38"/>
      <c r="U788" s="38"/>
      <c r="V788" s="38"/>
    </row>
    <row r="789">
      <c r="A789" s="23">
        <v>45897.0</v>
      </c>
      <c r="B789" s="25">
        <v>2.093501849E9</v>
      </c>
      <c r="C789" s="25" t="s">
        <v>108</v>
      </c>
      <c r="D789" s="70" t="s">
        <v>43</v>
      </c>
      <c r="E789" s="25">
        <v>1.0</v>
      </c>
      <c r="F789" s="109" t="s">
        <v>35</v>
      </c>
      <c r="G789" s="25">
        <v>2.503380963E9</v>
      </c>
      <c r="H789" s="70">
        <v>7477.0</v>
      </c>
      <c r="I789" s="25" t="str">
        <f t="shared" si="31"/>
        <v>7477-GSB-N/A</v>
      </c>
      <c r="J789" s="31" t="s">
        <v>1197</v>
      </c>
      <c r="K789" s="27" t="s">
        <v>453</v>
      </c>
      <c r="L789" s="120">
        <v>46259.0</v>
      </c>
      <c r="M789" s="27" t="s">
        <v>139</v>
      </c>
      <c r="N789" s="2">
        <v>3652.0</v>
      </c>
      <c r="O789" s="36" t="s">
        <v>1198</v>
      </c>
      <c r="P789" s="63">
        <v>46275.0</v>
      </c>
      <c r="Q789" s="38"/>
      <c r="R789" s="38"/>
      <c r="S789" s="38"/>
      <c r="T789" s="38"/>
      <c r="U789" s="38"/>
      <c r="V789" s="38"/>
    </row>
    <row r="790">
      <c r="A790" s="75">
        <v>46253.0</v>
      </c>
      <c r="B790" s="27" t="s">
        <v>35</v>
      </c>
      <c r="C790" s="27" t="s">
        <v>71</v>
      </c>
      <c r="D790" s="28" t="s">
        <v>50</v>
      </c>
      <c r="E790" s="27">
        <v>1.0</v>
      </c>
      <c r="F790" s="27" t="s">
        <v>1199</v>
      </c>
      <c r="G790" s="27" t="s">
        <v>1200</v>
      </c>
      <c r="H790" s="28">
        <v>10459.0</v>
      </c>
      <c r="I790" s="25" t="str">
        <f t="shared" si="31"/>
        <v>10459-GSB-SDS/1044547</v>
      </c>
      <c r="J790" s="31" t="s">
        <v>1197</v>
      </c>
      <c r="K790" s="27" t="s">
        <v>453</v>
      </c>
      <c r="L790" s="120">
        <v>46259.0</v>
      </c>
      <c r="M790" s="27" t="s">
        <v>139</v>
      </c>
      <c r="N790" s="2"/>
      <c r="O790" s="51"/>
      <c r="P790" s="93"/>
      <c r="Q790" s="38"/>
      <c r="R790" s="38"/>
      <c r="S790" s="38"/>
      <c r="T790" s="38"/>
      <c r="U790" s="38"/>
      <c r="V790" s="38"/>
    </row>
    <row r="791">
      <c r="A791" s="75">
        <v>46253.0</v>
      </c>
      <c r="B791" s="27" t="s">
        <v>616</v>
      </c>
      <c r="C791" s="27" t="s">
        <v>617</v>
      </c>
      <c r="D791" s="28" t="s">
        <v>49</v>
      </c>
      <c r="E791" s="27">
        <v>1.0</v>
      </c>
      <c r="F791" s="27" t="s">
        <v>1201</v>
      </c>
      <c r="G791" s="27"/>
      <c r="H791" s="28">
        <v>10494.0</v>
      </c>
      <c r="I791" s="25" t="str">
        <f t="shared" si="31"/>
        <v>10494-GSB-SDS/1044559</v>
      </c>
      <c r="J791" s="31" t="s">
        <v>1197</v>
      </c>
      <c r="K791" s="27" t="s">
        <v>453</v>
      </c>
      <c r="L791" s="120">
        <v>46259.0</v>
      </c>
      <c r="M791" s="27" t="s">
        <v>139</v>
      </c>
      <c r="N791" s="2">
        <v>3651.0</v>
      </c>
      <c r="O791" s="36" t="s">
        <v>1202</v>
      </c>
      <c r="P791" s="63">
        <v>46274.0</v>
      </c>
      <c r="Q791" s="38"/>
      <c r="R791" s="38"/>
      <c r="S791" s="38"/>
      <c r="T791" s="38"/>
      <c r="U791" s="38"/>
      <c r="V791" s="38"/>
    </row>
    <row r="792">
      <c r="A792" s="23">
        <v>45530.60907740741</v>
      </c>
      <c r="B792" s="25">
        <v>44430.0</v>
      </c>
      <c r="C792" s="25" t="s">
        <v>257</v>
      </c>
      <c r="D792" s="70" t="s">
        <v>57</v>
      </c>
      <c r="E792" s="25">
        <v>1.0</v>
      </c>
      <c r="F792" s="109" t="s">
        <v>35</v>
      </c>
      <c r="G792" s="109" t="s">
        <v>35</v>
      </c>
      <c r="H792" s="70">
        <v>8500.0</v>
      </c>
      <c r="I792" s="25" t="str">
        <f t="shared" si="31"/>
        <v>8500-GSB-N/A</v>
      </c>
      <c r="J792" s="31" t="s">
        <v>1197</v>
      </c>
      <c r="K792" s="27" t="s">
        <v>453</v>
      </c>
      <c r="L792" s="120">
        <v>46259.0</v>
      </c>
      <c r="M792" s="27" t="s">
        <v>139</v>
      </c>
      <c r="N792" s="2">
        <v>3652.0</v>
      </c>
      <c r="O792" s="36" t="s">
        <v>1198</v>
      </c>
      <c r="P792" s="63">
        <v>46275.0</v>
      </c>
      <c r="Q792" s="38"/>
      <c r="R792" s="38"/>
      <c r="S792" s="38"/>
      <c r="T792" s="38"/>
      <c r="U792" s="38"/>
      <c r="V792" s="38"/>
    </row>
    <row r="793">
      <c r="A793" s="27" t="s">
        <v>654</v>
      </c>
      <c r="B793" s="27" t="s">
        <v>655</v>
      </c>
      <c r="C793" s="27" t="s">
        <v>129</v>
      </c>
      <c r="D793" s="28" t="s">
        <v>61</v>
      </c>
      <c r="E793" s="27">
        <v>1.0</v>
      </c>
      <c r="F793" s="27" t="s">
        <v>1203</v>
      </c>
      <c r="G793" s="109" t="s">
        <v>35</v>
      </c>
      <c r="H793" s="28">
        <v>10278.0</v>
      </c>
      <c r="I793" s="25" t="str">
        <f t="shared" si="31"/>
        <v>10278-GSB-SDS/1043561</v>
      </c>
      <c r="J793" s="31" t="s">
        <v>1197</v>
      </c>
      <c r="K793" s="27" t="s">
        <v>453</v>
      </c>
      <c r="L793" s="120">
        <v>46259.0</v>
      </c>
      <c r="M793" s="27" t="s">
        <v>139</v>
      </c>
      <c r="N793" s="2"/>
      <c r="O793" s="51"/>
      <c r="P793" s="93"/>
      <c r="Q793" s="38"/>
      <c r="R793" s="38"/>
      <c r="S793" s="38"/>
      <c r="T793" s="38"/>
      <c r="U793" s="38"/>
      <c r="V793" s="38"/>
    </row>
    <row r="794">
      <c r="A794" s="75">
        <v>46259.0</v>
      </c>
      <c r="B794" s="27" t="s">
        <v>977</v>
      </c>
      <c r="C794" s="27" t="s">
        <v>35</v>
      </c>
      <c r="D794" s="28" t="s">
        <v>31</v>
      </c>
      <c r="E794" s="27">
        <v>1.0</v>
      </c>
      <c r="F794" s="109" t="s">
        <v>35</v>
      </c>
      <c r="G794" s="27" t="s">
        <v>35</v>
      </c>
      <c r="H794" s="28">
        <v>10508.0</v>
      </c>
      <c r="I794" s="25" t="str">
        <f t="shared" si="31"/>
        <v>10508-GSB-N/A</v>
      </c>
      <c r="J794" s="31" t="s">
        <v>1204</v>
      </c>
      <c r="K794" s="27" t="s">
        <v>453</v>
      </c>
      <c r="L794" s="120">
        <v>46259.0</v>
      </c>
      <c r="M794" s="27" t="s">
        <v>139</v>
      </c>
      <c r="N794" s="2">
        <v>3191.0</v>
      </c>
      <c r="O794" s="36" t="s">
        <v>1204</v>
      </c>
      <c r="P794" s="63">
        <v>46259.0</v>
      </c>
      <c r="Q794" s="38"/>
      <c r="R794" s="38"/>
      <c r="S794" s="38"/>
      <c r="T794" s="38"/>
      <c r="U794" s="38"/>
      <c r="V794" s="38"/>
    </row>
    <row r="795">
      <c r="A795" s="75">
        <v>46260.0</v>
      </c>
      <c r="B795" s="27" t="s">
        <v>977</v>
      </c>
      <c r="C795" s="27" t="s">
        <v>35</v>
      </c>
      <c r="D795" s="28" t="s">
        <v>31</v>
      </c>
      <c r="E795" s="27">
        <v>1.0</v>
      </c>
      <c r="F795" s="124" t="s">
        <v>35</v>
      </c>
      <c r="G795" s="25" t="s">
        <v>35</v>
      </c>
      <c r="H795" s="28">
        <v>10509.0</v>
      </c>
      <c r="I795" s="25" t="str">
        <f t="shared" si="31"/>
        <v>10509-GSB-N/A</v>
      </c>
      <c r="J795" s="31" t="s">
        <v>1205</v>
      </c>
      <c r="K795" s="27" t="s">
        <v>747</v>
      </c>
      <c r="L795" s="120">
        <v>46260.0</v>
      </c>
      <c r="M795" s="27" t="s">
        <v>139</v>
      </c>
      <c r="N795" s="2">
        <v>2684.0</v>
      </c>
      <c r="O795" s="36" t="s">
        <v>1206</v>
      </c>
      <c r="P795" s="63">
        <v>46260.0</v>
      </c>
      <c r="Q795" s="38"/>
      <c r="R795" s="38"/>
      <c r="S795" s="38"/>
      <c r="T795" s="38"/>
      <c r="U795" s="38"/>
      <c r="V795" s="38"/>
    </row>
    <row r="796">
      <c r="A796" s="75">
        <v>46209.0</v>
      </c>
      <c r="B796" s="27" t="s">
        <v>438</v>
      </c>
      <c r="C796" s="27" t="s">
        <v>35</v>
      </c>
      <c r="D796" s="28" t="s">
        <v>36</v>
      </c>
      <c r="E796" s="27">
        <v>1.0</v>
      </c>
      <c r="F796" s="109" t="s">
        <v>35</v>
      </c>
      <c r="G796" s="27" t="s">
        <v>35</v>
      </c>
      <c r="H796" s="28" t="s">
        <v>35</v>
      </c>
      <c r="I796" s="25" t="str">
        <f t="shared" si="31"/>
        <v>N/A-GSB-N/A</v>
      </c>
      <c r="J796" s="31" t="s">
        <v>151</v>
      </c>
      <c r="K796" s="27" t="s">
        <v>270</v>
      </c>
      <c r="L796" s="120">
        <v>46262.0</v>
      </c>
      <c r="M796" s="27" t="s">
        <v>139</v>
      </c>
      <c r="N796" s="2"/>
      <c r="O796" s="51"/>
      <c r="P796" s="93"/>
      <c r="Q796" s="38"/>
      <c r="R796" s="38"/>
      <c r="S796" s="38"/>
      <c r="T796" s="38"/>
      <c r="U796" s="38"/>
      <c r="V796" s="38"/>
    </row>
    <row r="797">
      <c r="A797" s="75">
        <v>46209.0</v>
      </c>
      <c r="B797" s="27" t="s">
        <v>438</v>
      </c>
      <c r="C797" s="27" t="s">
        <v>35</v>
      </c>
      <c r="D797" s="28" t="s">
        <v>36</v>
      </c>
      <c r="E797" s="27">
        <v>1.0</v>
      </c>
      <c r="F797" s="109" t="s">
        <v>35</v>
      </c>
      <c r="G797" s="27" t="s">
        <v>35</v>
      </c>
      <c r="H797" s="28" t="s">
        <v>35</v>
      </c>
      <c r="I797" s="25" t="str">
        <f t="shared" si="31"/>
        <v>N/A-GSB-N/A</v>
      </c>
      <c r="J797" s="31" t="s">
        <v>151</v>
      </c>
      <c r="K797" s="27" t="s">
        <v>270</v>
      </c>
      <c r="L797" s="120">
        <v>46262.0</v>
      </c>
      <c r="M797" s="27" t="s">
        <v>139</v>
      </c>
      <c r="N797" s="2"/>
      <c r="O797" s="51"/>
      <c r="P797" s="93"/>
      <c r="Q797" s="38"/>
      <c r="R797" s="38"/>
      <c r="S797" s="38"/>
      <c r="T797" s="38"/>
      <c r="U797" s="38"/>
      <c r="V797" s="38"/>
    </row>
    <row r="798">
      <c r="A798" s="75">
        <v>46209.0</v>
      </c>
      <c r="B798" s="27" t="s">
        <v>438</v>
      </c>
      <c r="C798" s="27" t="s">
        <v>35</v>
      </c>
      <c r="D798" s="28" t="s">
        <v>36</v>
      </c>
      <c r="E798" s="27">
        <v>1.0</v>
      </c>
      <c r="F798" s="109" t="s">
        <v>35</v>
      </c>
      <c r="G798" s="27" t="s">
        <v>35</v>
      </c>
      <c r="H798" s="28" t="s">
        <v>35</v>
      </c>
      <c r="I798" s="25" t="str">
        <f t="shared" si="31"/>
        <v>N/A-GSB-N/A</v>
      </c>
      <c r="J798" s="31" t="s">
        <v>151</v>
      </c>
      <c r="K798" s="27" t="s">
        <v>270</v>
      </c>
      <c r="L798" s="120">
        <v>46262.0</v>
      </c>
      <c r="M798" s="27" t="s">
        <v>139</v>
      </c>
      <c r="N798" s="2"/>
      <c r="O798" s="51"/>
      <c r="P798" s="93"/>
      <c r="Q798" s="38"/>
      <c r="R798" s="38"/>
      <c r="S798" s="38"/>
      <c r="T798" s="38"/>
      <c r="U798" s="38"/>
      <c r="V798" s="38"/>
    </row>
    <row r="799">
      <c r="A799" s="75">
        <v>46209.0</v>
      </c>
      <c r="B799" s="27" t="s">
        <v>438</v>
      </c>
      <c r="C799" s="27" t="s">
        <v>35</v>
      </c>
      <c r="D799" s="28" t="s">
        <v>36</v>
      </c>
      <c r="E799" s="27">
        <v>1.0</v>
      </c>
      <c r="F799" s="109" t="s">
        <v>35</v>
      </c>
      <c r="G799" s="27" t="s">
        <v>35</v>
      </c>
      <c r="H799" s="28" t="s">
        <v>35</v>
      </c>
      <c r="I799" s="25" t="str">
        <f t="shared" si="31"/>
        <v>N/A-GSB-N/A</v>
      </c>
      <c r="J799" s="31" t="s">
        <v>151</v>
      </c>
      <c r="K799" s="27" t="s">
        <v>270</v>
      </c>
      <c r="L799" s="120">
        <v>46262.0</v>
      </c>
      <c r="M799" s="27" t="s">
        <v>139</v>
      </c>
      <c r="N799" s="2"/>
      <c r="O799" s="51"/>
      <c r="P799" s="93"/>
      <c r="Q799" s="38"/>
      <c r="R799" s="38"/>
      <c r="S799" s="38"/>
      <c r="T799" s="38"/>
      <c r="U799" s="38"/>
      <c r="V799" s="38"/>
    </row>
    <row r="800">
      <c r="A800" s="75">
        <v>46209.0</v>
      </c>
      <c r="B800" s="27" t="s">
        <v>438</v>
      </c>
      <c r="C800" s="27" t="s">
        <v>35</v>
      </c>
      <c r="D800" s="28" t="s">
        <v>36</v>
      </c>
      <c r="E800" s="27">
        <v>1.0</v>
      </c>
      <c r="F800" s="109" t="s">
        <v>35</v>
      </c>
      <c r="G800" s="27" t="s">
        <v>35</v>
      </c>
      <c r="H800" s="28" t="s">
        <v>35</v>
      </c>
      <c r="I800" s="25" t="str">
        <f t="shared" si="31"/>
        <v>N/A-GSB-N/A</v>
      </c>
      <c r="J800" s="31" t="s">
        <v>151</v>
      </c>
      <c r="K800" s="27" t="s">
        <v>270</v>
      </c>
      <c r="L800" s="120">
        <v>46262.0</v>
      </c>
      <c r="M800" s="27" t="s">
        <v>139</v>
      </c>
      <c r="N800" s="2"/>
      <c r="O800" s="51"/>
      <c r="P800" s="93"/>
      <c r="Q800" s="38"/>
      <c r="R800" s="38"/>
      <c r="S800" s="38"/>
      <c r="T800" s="38"/>
      <c r="U800" s="38"/>
      <c r="V800" s="38"/>
    </row>
    <row r="801">
      <c r="A801" s="75">
        <v>46253.0</v>
      </c>
      <c r="B801" s="27" t="s">
        <v>35</v>
      </c>
      <c r="C801" s="27" t="s">
        <v>108</v>
      </c>
      <c r="D801" s="28" t="s">
        <v>43</v>
      </c>
      <c r="E801" s="27">
        <v>1.0</v>
      </c>
      <c r="F801" s="27" t="s">
        <v>1207</v>
      </c>
      <c r="G801" s="27" t="s">
        <v>35</v>
      </c>
      <c r="H801" s="28">
        <v>10499.0</v>
      </c>
      <c r="I801" s="25" t="str">
        <f t="shared" ref="I801:I802" si="32">CONCATENATE(H801,"-","GSB","-",G801)</f>
        <v>10499-GSB-N/A</v>
      </c>
      <c r="J801" s="31" t="s">
        <v>151</v>
      </c>
      <c r="K801" s="27" t="s">
        <v>270</v>
      </c>
      <c r="L801" s="120">
        <v>46262.0</v>
      </c>
      <c r="M801" s="27" t="s">
        <v>139</v>
      </c>
      <c r="N801" s="2"/>
      <c r="O801" s="51"/>
      <c r="P801" s="93"/>
      <c r="Q801" s="38"/>
      <c r="R801" s="38"/>
      <c r="S801" s="38"/>
      <c r="T801" s="38"/>
      <c r="U801" s="38"/>
      <c r="V801" s="38"/>
    </row>
    <row r="802">
      <c r="A802" s="75">
        <v>46253.0</v>
      </c>
      <c r="B802" s="27" t="s">
        <v>35</v>
      </c>
      <c r="C802" s="27" t="s">
        <v>108</v>
      </c>
      <c r="D802" s="28" t="s">
        <v>43</v>
      </c>
      <c r="E802" s="27">
        <v>1.0</v>
      </c>
      <c r="F802" s="27" t="s">
        <v>1208</v>
      </c>
      <c r="G802" s="27" t="s">
        <v>35</v>
      </c>
      <c r="H802" s="28">
        <v>10500.0</v>
      </c>
      <c r="I802" s="25" t="str">
        <f t="shared" si="32"/>
        <v>10500-GSB-N/A</v>
      </c>
      <c r="J802" s="31" t="s">
        <v>151</v>
      </c>
      <c r="K802" s="27" t="s">
        <v>270</v>
      </c>
      <c r="L802" s="120">
        <v>46262.0</v>
      </c>
      <c r="M802" s="27" t="s">
        <v>139</v>
      </c>
      <c r="N802" s="2"/>
      <c r="O802" s="51"/>
      <c r="P802" s="93"/>
      <c r="Q802" s="38"/>
      <c r="R802" s="38"/>
      <c r="S802" s="38"/>
      <c r="T802" s="38"/>
      <c r="U802" s="38"/>
      <c r="V802" s="38"/>
    </row>
    <row r="803">
      <c r="A803" s="23">
        <v>45530.60907740741</v>
      </c>
      <c r="B803" s="123">
        <v>46195.63563640046</v>
      </c>
      <c r="C803" s="25" t="s">
        <v>257</v>
      </c>
      <c r="D803" s="70" t="s">
        <v>57</v>
      </c>
      <c r="E803" s="25">
        <v>1.0</v>
      </c>
      <c r="F803" s="109" t="s">
        <v>35</v>
      </c>
      <c r="G803" s="109" t="s">
        <v>35</v>
      </c>
      <c r="H803" s="70">
        <v>2991.0</v>
      </c>
      <c r="I803" s="25" t="str">
        <f t="shared" ref="I803:I808" si="33">CONCATENATE(H803,"-","GSB","-",F803)</f>
        <v>2991-GSB-N/A</v>
      </c>
      <c r="J803" s="31" t="s">
        <v>151</v>
      </c>
      <c r="K803" s="27" t="s">
        <v>270</v>
      </c>
      <c r="L803" s="120">
        <v>46262.0</v>
      </c>
      <c r="M803" s="27" t="s">
        <v>139</v>
      </c>
      <c r="N803" s="2"/>
      <c r="O803" s="51"/>
      <c r="P803" s="93"/>
      <c r="Q803" s="38"/>
      <c r="R803" s="38"/>
      <c r="S803" s="38"/>
      <c r="T803" s="38"/>
      <c r="U803" s="38"/>
      <c r="V803" s="38"/>
    </row>
    <row r="804">
      <c r="A804" s="23">
        <v>45530.60907740741</v>
      </c>
      <c r="B804" s="123">
        <v>46195.63742038194</v>
      </c>
      <c r="C804" s="25" t="s">
        <v>257</v>
      </c>
      <c r="D804" s="70" t="s">
        <v>57</v>
      </c>
      <c r="E804" s="25">
        <v>1.0</v>
      </c>
      <c r="F804" s="109" t="s">
        <v>35</v>
      </c>
      <c r="G804" s="109" t="s">
        <v>35</v>
      </c>
      <c r="H804" s="70">
        <v>8555.0</v>
      </c>
      <c r="I804" s="25" t="str">
        <f t="shared" si="33"/>
        <v>8555-GSB-N/A</v>
      </c>
      <c r="J804" s="31" t="s">
        <v>151</v>
      </c>
      <c r="K804" s="27" t="s">
        <v>270</v>
      </c>
      <c r="L804" s="120">
        <v>46262.0</v>
      </c>
      <c r="M804" s="27" t="s">
        <v>139</v>
      </c>
      <c r="N804" s="2"/>
      <c r="O804" s="51"/>
      <c r="P804" s="93"/>
      <c r="Q804" s="38"/>
      <c r="R804" s="38"/>
      <c r="S804" s="38"/>
      <c r="T804" s="38"/>
      <c r="U804" s="38"/>
      <c r="V804" s="38"/>
    </row>
    <row r="805">
      <c r="A805" s="75">
        <v>46164.0</v>
      </c>
      <c r="B805" s="27">
        <v>1332601.0</v>
      </c>
      <c r="C805" s="27" t="s">
        <v>682</v>
      </c>
      <c r="D805" s="28" t="s">
        <v>64</v>
      </c>
      <c r="E805" s="25">
        <v>1.0</v>
      </c>
      <c r="F805" s="109" t="s">
        <v>35</v>
      </c>
      <c r="G805" s="27" t="s">
        <v>35</v>
      </c>
      <c r="H805" s="28">
        <v>10187.0</v>
      </c>
      <c r="I805" s="25" t="str">
        <f t="shared" si="33"/>
        <v>10187-GSB-N/A</v>
      </c>
      <c r="J805" s="31" t="s">
        <v>151</v>
      </c>
      <c r="K805" s="27" t="s">
        <v>270</v>
      </c>
      <c r="L805" s="120">
        <v>46262.0</v>
      </c>
      <c r="M805" s="27" t="s">
        <v>139</v>
      </c>
      <c r="N805" s="2">
        <v>3279.0</v>
      </c>
      <c r="O805" s="36" t="s">
        <v>1209</v>
      </c>
      <c r="P805" s="63">
        <v>46268.0</v>
      </c>
      <c r="Q805" s="38"/>
      <c r="R805" s="38"/>
      <c r="S805" s="38"/>
      <c r="T805" s="38"/>
      <c r="U805" s="38"/>
      <c r="V805" s="38"/>
    </row>
    <row r="806">
      <c r="A806" s="75">
        <v>46164.0</v>
      </c>
      <c r="B806" s="27">
        <v>1332601.0</v>
      </c>
      <c r="C806" s="27" t="s">
        <v>682</v>
      </c>
      <c r="D806" s="28" t="s">
        <v>64</v>
      </c>
      <c r="E806" s="25">
        <v>1.0</v>
      </c>
      <c r="F806" s="109" t="s">
        <v>35</v>
      </c>
      <c r="G806" s="27" t="s">
        <v>35</v>
      </c>
      <c r="H806" s="28">
        <v>10188.0</v>
      </c>
      <c r="I806" s="25" t="str">
        <f t="shared" si="33"/>
        <v>10188-GSB-N/A</v>
      </c>
      <c r="J806" s="31" t="s">
        <v>151</v>
      </c>
      <c r="K806" s="27" t="s">
        <v>270</v>
      </c>
      <c r="L806" s="120">
        <v>46262.0</v>
      </c>
      <c r="M806" s="27" t="s">
        <v>139</v>
      </c>
      <c r="N806" s="2"/>
      <c r="O806" s="51"/>
      <c r="P806" s="93"/>
      <c r="Q806" s="38"/>
      <c r="R806" s="38"/>
      <c r="S806" s="38"/>
      <c r="T806" s="38"/>
      <c r="U806" s="38"/>
      <c r="V806" s="38"/>
    </row>
    <row r="807">
      <c r="A807" s="75">
        <v>46184.0</v>
      </c>
      <c r="B807" s="27">
        <v>59889.0</v>
      </c>
      <c r="C807" s="27">
        <v>4.998114565E9</v>
      </c>
      <c r="D807" s="28" t="s">
        <v>2</v>
      </c>
      <c r="E807" s="27">
        <v>1.0</v>
      </c>
      <c r="F807" s="27" t="s">
        <v>1210</v>
      </c>
      <c r="G807" s="109" t="s">
        <v>35</v>
      </c>
      <c r="H807" s="28">
        <v>10307.0</v>
      </c>
      <c r="I807" s="25" t="str">
        <f t="shared" si="33"/>
        <v>10307-GSB-SDS-1043587</v>
      </c>
      <c r="J807" s="31" t="s">
        <v>725</v>
      </c>
      <c r="K807" s="31" t="s">
        <v>1211</v>
      </c>
      <c r="L807" s="120">
        <v>46262.0</v>
      </c>
      <c r="M807" s="27" t="s">
        <v>139</v>
      </c>
      <c r="N807" s="2">
        <v>3448.0</v>
      </c>
      <c r="O807" s="36" t="s">
        <v>1212</v>
      </c>
      <c r="P807" s="63">
        <v>46270.0</v>
      </c>
      <c r="Q807" s="38"/>
      <c r="R807" s="38"/>
      <c r="S807" s="38"/>
      <c r="T807" s="38"/>
      <c r="U807" s="38"/>
      <c r="V807" s="38"/>
    </row>
    <row r="808">
      <c r="A808" s="23">
        <v>45897.0</v>
      </c>
      <c r="B808" s="25">
        <v>2.093501849E9</v>
      </c>
      <c r="C808" s="25" t="s">
        <v>108</v>
      </c>
      <c r="D808" s="70" t="s">
        <v>43</v>
      </c>
      <c r="E808" s="25">
        <v>1.0</v>
      </c>
      <c r="F808" s="109" t="s">
        <v>35</v>
      </c>
      <c r="G808" s="25">
        <v>2.503380743E9</v>
      </c>
      <c r="H808" s="70">
        <v>3686.0</v>
      </c>
      <c r="I808" s="25" t="str">
        <f t="shared" si="33"/>
        <v>3686-GSB-N/A</v>
      </c>
      <c r="J808" s="31" t="s">
        <v>725</v>
      </c>
      <c r="K808" s="31" t="s">
        <v>1211</v>
      </c>
      <c r="L808" s="120">
        <v>46262.0</v>
      </c>
      <c r="M808" s="27" t="s">
        <v>139</v>
      </c>
      <c r="N808" s="2">
        <v>3446.0</v>
      </c>
      <c r="O808" s="36" t="s">
        <v>1213</v>
      </c>
      <c r="P808" s="63">
        <v>46272.0</v>
      </c>
      <c r="Q808" s="38"/>
      <c r="R808" s="38"/>
      <c r="S808" s="38"/>
      <c r="T808" s="38"/>
      <c r="U808" s="38"/>
      <c r="V808" s="38"/>
    </row>
    <row r="809">
      <c r="A809" s="75">
        <v>46253.0</v>
      </c>
      <c r="B809" s="27" t="s">
        <v>35</v>
      </c>
      <c r="C809" s="27" t="s">
        <v>108</v>
      </c>
      <c r="D809" s="28" t="s">
        <v>43</v>
      </c>
      <c r="E809" s="27">
        <v>1.0</v>
      </c>
      <c r="F809" s="27" t="s">
        <v>1214</v>
      </c>
      <c r="G809" s="27" t="s">
        <v>35</v>
      </c>
      <c r="H809" s="28">
        <v>10501.0</v>
      </c>
      <c r="I809" s="25" t="str">
        <f>CONCATENATE(H809,"-","GSB","-",G809)</f>
        <v>10501-GSB-N/A</v>
      </c>
      <c r="J809" s="31" t="s">
        <v>725</v>
      </c>
      <c r="K809" s="31" t="s">
        <v>1211</v>
      </c>
      <c r="L809" s="120">
        <v>46262.0</v>
      </c>
      <c r="M809" s="27" t="s">
        <v>139</v>
      </c>
      <c r="N809" s="2"/>
      <c r="O809" s="51"/>
      <c r="P809" s="93"/>
      <c r="Q809" s="38"/>
      <c r="R809" s="38"/>
      <c r="S809" s="38"/>
      <c r="T809" s="38"/>
      <c r="U809" s="38"/>
      <c r="V809" s="38"/>
    </row>
    <row r="810">
      <c r="A810" s="75">
        <v>46253.0</v>
      </c>
      <c r="B810" s="27" t="s">
        <v>35</v>
      </c>
      <c r="C810" s="27" t="s">
        <v>71</v>
      </c>
      <c r="D810" s="28" t="s">
        <v>50</v>
      </c>
      <c r="E810" s="27">
        <v>1.0</v>
      </c>
      <c r="F810" s="27" t="s">
        <v>1215</v>
      </c>
      <c r="G810" s="27" t="s">
        <v>1216</v>
      </c>
      <c r="H810" s="28">
        <v>10460.0</v>
      </c>
      <c r="I810" s="25" t="str">
        <f>CONCATENATE(H810,"-","GSB","-",F810)</f>
        <v>10460-GSB-SDS/1044535</v>
      </c>
      <c r="J810" s="31" t="s">
        <v>725</v>
      </c>
      <c r="K810" s="31" t="s">
        <v>1211</v>
      </c>
      <c r="L810" s="120">
        <v>46262.0</v>
      </c>
      <c r="M810" s="27" t="s">
        <v>139</v>
      </c>
      <c r="N810" s="2"/>
      <c r="O810" s="51"/>
      <c r="P810" s="93"/>
      <c r="Q810" s="38"/>
      <c r="R810" s="38"/>
      <c r="S810" s="38"/>
      <c r="T810" s="38"/>
      <c r="U810" s="38"/>
      <c r="V810" s="38"/>
    </row>
    <row r="811">
      <c r="A811" s="75">
        <v>46253.0</v>
      </c>
      <c r="B811" s="27" t="s">
        <v>616</v>
      </c>
      <c r="C811" s="27" t="s">
        <v>617</v>
      </c>
      <c r="D811" s="28" t="s">
        <v>49</v>
      </c>
      <c r="E811" s="27">
        <v>1.0</v>
      </c>
      <c r="F811" s="27" t="s">
        <v>1217</v>
      </c>
      <c r="G811" s="27" t="s">
        <v>1218</v>
      </c>
      <c r="H811" s="28">
        <v>10492.0</v>
      </c>
      <c r="I811" s="25" t="str">
        <f>CONCATENATE(H811,"-","GSB","-",G811)</f>
        <v>10492-GSB-042207947828030032</v>
      </c>
      <c r="J811" s="31" t="s">
        <v>725</v>
      </c>
      <c r="K811" s="31" t="s">
        <v>1211</v>
      </c>
      <c r="L811" s="120">
        <v>46262.0</v>
      </c>
      <c r="M811" s="27" t="s">
        <v>139</v>
      </c>
      <c r="N811" s="2">
        <v>3449.0</v>
      </c>
      <c r="O811" s="36" t="s">
        <v>1219</v>
      </c>
      <c r="P811" s="63">
        <v>46273.0</v>
      </c>
      <c r="Q811" s="38"/>
      <c r="R811" s="38"/>
      <c r="S811" s="38"/>
      <c r="T811" s="38"/>
      <c r="U811" s="38"/>
      <c r="V811" s="38"/>
    </row>
    <row r="812">
      <c r="A812" s="23">
        <v>45530.60907740741</v>
      </c>
      <c r="B812" s="123">
        <v>46195.636136030094</v>
      </c>
      <c r="C812" s="25" t="s">
        <v>257</v>
      </c>
      <c r="D812" s="70" t="s">
        <v>57</v>
      </c>
      <c r="E812" s="25">
        <v>1.0</v>
      </c>
      <c r="F812" s="109" t="s">
        <v>35</v>
      </c>
      <c r="G812" s="109" t="s">
        <v>35</v>
      </c>
      <c r="H812" s="70">
        <v>8575.0</v>
      </c>
      <c r="I812" s="25" t="str">
        <f t="shared" ref="I812:I818" si="34">CONCATENATE(H812,"-","GSB","-",F812)</f>
        <v>8575-GSB-N/A</v>
      </c>
      <c r="J812" s="31" t="s">
        <v>725</v>
      </c>
      <c r="K812" s="31" t="s">
        <v>1211</v>
      </c>
      <c r="L812" s="120">
        <v>46262.0</v>
      </c>
      <c r="M812" s="27" t="s">
        <v>139</v>
      </c>
      <c r="N812" s="2"/>
      <c r="O812" s="51"/>
      <c r="P812" s="93"/>
      <c r="Q812" s="38"/>
      <c r="R812" s="38"/>
      <c r="S812" s="38"/>
      <c r="T812" s="38"/>
      <c r="U812" s="38"/>
      <c r="V812" s="38"/>
    </row>
    <row r="813">
      <c r="A813" s="23">
        <v>45530.60907740741</v>
      </c>
      <c r="B813" s="123">
        <v>46195.637533761575</v>
      </c>
      <c r="C813" s="25" t="s">
        <v>257</v>
      </c>
      <c r="D813" s="70" t="s">
        <v>57</v>
      </c>
      <c r="E813" s="25">
        <v>1.0</v>
      </c>
      <c r="F813" s="109" t="s">
        <v>35</v>
      </c>
      <c r="G813" s="109" t="s">
        <v>35</v>
      </c>
      <c r="H813" s="70">
        <v>8550.0</v>
      </c>
      <c r="I813" s="25" t="str">
        <f t="shared" si="34"/>
        <v>8550-GSB-N/A</v>
      </c>
      <c r="J813" s="31" t="s">
        <v>725</v>
      </c>
      <c r="K813" s="31" t="s">
        <v>1211</v>
      </c>
      <c r="L813" s="120">
        <v>46262.0</v>
      </c>
      <c r="M813" s="27" t="s">
        <v>139</v>
      </c>
      <c r="N813" s="2">
        <v>3446.0</v>
      </c>
      <c r="O813" s="36" t="s">
        <v>1213</v>
      </c>
      <c r="P813" s="63">
        <v>46272.0</v>
      </c>
      <c r="Q813" s="38"/>
      <c r="R813" s="38"/>
      <c r="S813" s="38"/>
      <c r="T813" s="38"/>
      <c r="U813" s="38"/>
      <c r="V813" s="38"/>
    </row>
    <row r="814">
      <c r="A814" s="27" t="s">
        <v>654</v>
      </c>
      <c r="B814" s="27" t="s">
        <v>655</v>
      </c>
      <c r="C814" s="27" t="s">
        <v>129</v>
      </c>
      <c r="D814" s="28" t="s">
        <v>61</v>
      </c>
      <c r="E814" s="27">
        <v>1.0</v>
      </c>
      <c r="F814" s="27" t="s">
        <v>1220</v>
      </c>
      <c r="G814" s="109" t="s">
        <v>35</v>
      </c>
      <c r="H814" s="28">
        <v>10283.0</v>
      </c>
      <c r="I814" s="25" t="str">
        <f t="shared" si="34"/>
        <v>10283-GSB-SDS/1043558</v>
      </c>
      <c r="J814" s="31" t="s">
        <v>725</v>
      </c>
      <c r="K814" s="31" t="s">
        <v>1211</v>
      </c>
      <c r="L814" s="120">
        <v>46262.0</v>
      </c>
      <c r="M814" s="27" t="s">
        <v>139</v>
      </c>
      <c r="N814" s="2">
        <v>3448.0</v>
      </c>
      <c r="O814" s="36" t="s">
        <v>1212</v>
      </c>
      <c r="P814" s="63">
        <v>46270.0</v>
      </c>
      <c r="Q814" s="38"/>
      <c r="R814" s="38"/>
      <c r="S814" s="38"/>
      <c r="T814" s="38"/>
      <c r="U814" s="38"/>
      <c r="V814" s="38"/>
    </row>
    <row r="815">
      <c r="A815" s="75">
        <v>46184.0</v>
      </c>
      <c r="B815" s="27">
        <v>59889.0</v>
      </c>
      <c r="C815" s="27">
        <v>4.998114565E9</v>
      </c>
      <c r="D815" s="28" t="s">
        <v>2</v>
      </c>
      <c r="E815" s="27">
        <v>1.0</v>
      </c>
      <c r="F815" s="27" t="s">
        <v>1221</v>
      </c>
      <c r="G815" s="109" t="s">
        <v>35</v>
      </c>
      <c r="H815" s="28">
        <v>10302.0</v>
      </c>
      <c r="I815" s="25" t="str">
        <f t="shared" si="34"/>
        <v>10302-GSB-SDS-1043574</v>
      </c>
      <c r="J815" s="31" t="s">
        <v>1087</v>
      </c>
      <c r="K815" s="27" t="s">
        <v>1222</v>
      </c>
      <c r="L815" s="120">
        <v>46267.0</v>
      </c>
      <c r="M815" s="27" t="s">
        <v>139</v>
      </c>
      <c r="N815" s="2"/>
      <c r="O815" s="51"/>
      <c r="P815" s="93"/>
      <c r="Q815" s="38"/>
      <c r="R815" s="38"/>
      <c r="S815" s="38"/>
      <c r="T815" s="38"/>
      <c r="U815" s="38"/>
      <c r="V815" s="38"/>
    </row>
    <row r="816">
      <c r="A816" s="75">
        <v>46184.0</v>
      </c>
      <c r="B816" s="27">
        <v>59889.0</v>
      </c>
      <c r="C816" s="27">
        <v>4.998114565E9</v>
      </c>
      <c r="D816" s="28" t="s">
        <v>2</v>
      </c>
      <c r="E816" s="27">
        <v>1.0</v>
      </c>
      <c r="F816" s="27" t="s">
        <v>1223</v>
      </c>
      <c r="G816" s="109" t="s">
        <v>35</v>
      </c>
      <c r="H816" s="28">
        <v>10341.0</v>
      </c>
      <c r="I816" s="25" t="str">
        <f t="shared" si="34"/>
        <v>10341-GSB-SDS-1043573</v>
      </c>
      <c r="J816" s="31" t="s">
        <v>1087</v>
      </c>
      <c r="K816" s="27" t="s">
        <v>1222</v>
      </c>
      <c r="L816" s="120">
        <v>46267.0</v>
      </c>
      <c r="M816" s="27" t="s">
        <v>139</v>
      </c>
      <c r="N816" s="2"/>
      <c r="O816" s="51"/>
      <c r="P816" s="93"/>
      <c r="Q816" s="38"/>
      <c r="R816" s="38"/>
      <c r="S816" s="38"/>
      <c r="T816" s="38"/>
      <c r="U816" s="38"/>
      <c r="V816" s="38"/>
    </row>
    <row r="817">
      <c r="A817" s="75">
        <v>46184.0</v>
      </c>
      <c r="B817" s="27">
        <v>59889.0</v>
      </c>
      <c r="C817" s="27">
        <v>4.998114565E9</v>
      </c>
      <c r="D817" s="28" t="s">
        <v>2</v>
      </c>
      <c r="E817" s="27">
        <v>1.0</v>
      </c>
      <c r="F817" s="27" t="s">
        <v>1224</v>
      </c>
      <c r="G817" s="109" t="s">
        <v>35</v>
      </c>
      <c r="H817" s="28">
        <v>10342.0</v>
      </c>
      <c r="I817" s="25" t="str">
        <f t="shared" si="34"/>
        <v>10342-GSB-SDS-1043627</v>
      </c>
      <c r="J817" s="31" t="s">
        <v>1087</v>
      </c>
      <c r="K817" s="27" t="s">
        <v>1222</v>
      </c>
      <c r="L817" s="120">
        <v>46267.0</v>
      </c>
      <c r="M817" s="27" t="s">
        <v>139</v>
      </c>
      <c r="N817" s="2"/>
      <c r="O817" s="51"/>
      <c r="P817" s="93"/>
      <c r="Q817" s="38"/>
      <c r="R817" s="38"/>
      <c r="S817" s="38"/>
      <c r="T817" s="38"/>
      <c r="U817" s="38"/>
      <c r="V817" s="38"/>
    </row>
    <row r="818">
      <c r="A818" s="27" t="s">
        <v>654</v>
      </c>
      <c r="B818" s="27" t="s">
        <v>655</v>
      </c>
      <c r="C818" s="27" t="s">
        <v>129</v>
      </c>
      <c r="D818" s="28" t="s">
        <v>61</v>
      </c>
      <c r="E818" s="27">
        <v>1.0</v>
      </c>
      <c r="F818" s="27" t="s">
        <v>1225</v>
      </c>
      <c r="G818" s="109" t="s">
        <v>35</v>
      </c>
      <c r="H818" s="28">
        <v>10277.0</v>
      </c>
      <c r="I818" s="25" t="str">
        <f t="shared" si="34"/>
        <v>10277-GSB-SDS/1043565</v>
      </c>
      <c r="J818" s="31" t="s">
        <v>1087</v>
      </c>
      <c r="K818" s="27" t="s">
        <v>1222</v>
      </c>
      <c r="L818" s="120">
        <v>46267.0</v>
      </c>
      <c r="M818" s="27" t="s">
        <v>139</v>
      </c>
      <c r="N818" s="2"/>
      <c r="O818" s="51"/>
      <c r="P818" s="93"/>
      <c r="Q818" s="38"/>
      <c r="R818" s="38"/>
      <c r="S818" s="38"/>
      <c r="T818" s="38"/>
      <c r="U818" s="38"/>
      <c r="V818" s="38"/>
    </row>
    <row r="819">
      <c r="A819" s="75">
        <v>46253.0</v>
      </c>
      <c r="B819" s="27" t="s">
        <v>616</v>
      </c>
      <c r="C819" s="27" t="s">
        <v>504</v>
      </c>
      <c r="D819" s="28" t="s">
        <v>61</v>
      </c>
      <c r="E819" s="27">
        <v>1.0</v>
      </c>
      <c r="F819" s="27" t="s">
        <v>1226</v>
      </c>
      <c r="G819" s="27" t="s">
        <v>35</v>
      </c>
      <c r="H819" s="28">
        <v>10488.0</v>
      </c>
      <c r="I819" s="25" t="str">
        <f t="shared" ref="I819:I823" si="35">CONCATENATE(H819,"-","GSB","-",G819)</f>
        <v>10488-GSB-N/A</v>
      </c>
      <c r="J819" s="31" t="s">
        <v>1087</v>
      </c>
      <c r="K819" s="27" t="s">
        <v>1222</v>
      </c>
      <c r="L819" s="120">
        <v>46267.0</v>
      </c>
      <c r="M819" s="27" t="s">
        <v>139</v>
      </c>
      <c r="N819" s="2"/>
      <c r="O819" s="51"/>
      <c r="P819" s="93"/>
      <c r="Q819" s="38"/>
      <c r="R819" s="38"/>
      <c r="S819" s="38"/>
      <c r="T819" s="38"/>
      <c r="U819" s="38"/>
      <c r="V819" s="38"/>
    </row>
    <row r="820">
      <c r="A820" s="75">
        <v>46253.0</v>
      </c>
      <c r="B820" s="27" t="s">
        <v>616</v>
      </c>
      <c r="C820" s="27" t="s">
        <v>504</v>
      </c>
      <c r="D820" s="28" t="s">
        <v>61</v>
      </c>
      <c r="E820" s="27">
        <v>1.0</v>
      </c>
      <c r="F820" s="27" t="s">
        <v>1227</v>
      </c>
      <c r="G820" s="27" t="s">
        <v>35</v>
      </c>
      <c r="H820" s="28">
        <v>10489.0</v>
      </c>
      <c r="I820" s="25" t="str">
        <f t="shared" si="35"/>
        <v>10489-GSB-N/A</v>
      </c>
      <c r="J820" s="31" t="s">
        <v>1087</v>
      </c>
      <c r="K820" s="27" t="s">
        <v>1222</v>
      </c>
      <c r="L820" s="120">
        <v>46267.0</v>
      </c>
      <c r="M820" s="27" t="s">
        <v>139</v>
      </c>
      <c r="N820" s="2"/>
      <c r="O820" s="51"/>
      <c r="P820" s="93"/>
      <c r="Q820" s="38"/>
      <c r="R820" s="38"/>
      <c r="S820" s="38"/>
      <c r="T820" s="38"/>
      <c r="U820" s="38"/>
      <c r="V820" s="38"/>
    </row>
    <row r="821">
      <c r="A821" s="75">
        <v>46268.0</v>
      </c>
      <c r="B821" s="27" t="s">
        <v>35</v>
      </c>
      <c r="C821" s="27" t="s">
        <v>35</v>
      </c>
      <c r="D821" s="28" t="s">
        <v>31</v>
      </c>
      <c r="E821" s="27">
        <v>1.0</v>
      </c>
      <c r="F821" s="109" t="s">
        <v>35</v>
      </c>
      <c r="G821" s="27" t="s">
        <v>35</v>
      </c>
      <c r="H821" s="28">
        <v>10510.0</v>
      </c>
      <c r="I821" s="25" t="str">
        <f t="shared" si="35"/>
        <v>10510-GSB-N/A</v>
      </c>
      <c r="J821" s="31" t="s">
        <v>1228</v>
      </c>
      <c r="K821" s="27" t="s">
        <v>270</v>
      </c>
      <c r="L821" s="120">
        <v>46268.0</v>
      </c>
      <c r="M821" s="27" t="s">
        <v>139</v>
      </c>
      <c r="N821" s="2">
        <v>3280.0</v>
      </c>
      <c r="O821" s="36" t="s">
        <v>1229</v>
      </c>
      <c r="P821" s="63">
        <v>46268.0</v>
      </c>
      <c r="Q821" s="38"/>
      <c r="R821" s="38"/>
      <c r="S821" s="38"/>
      <c r="T821" s="38"/>
      <c r="U821" s="38"/>
      <c r="V821" s="38"/>
    </row>
    <row r="822">
      <c r="A822" s="75">
        <v>46268.0</v>
      </c>
      <c r="B822" s="27" t="s">
        <v>35</v>
      </c>
      <c r="C822" s="27" t="s">
        <v>35</v>
      </c>
      <c r="D822" s="28" t="s">
        <v>31</v>
      </c>
      <c r="E822" s="27">
        <v>1.0</v>
      </c>
      <c r="F822" s="109" t="s">
        <v>35</v>
      </c>
      <c r="G822" s="27" t="s">
        <v>35</v>
      </c>
      <c r="H822" s="28">
        <v>10511.0</v>
      </c>
      <c r="I822" s="25" t="str">
        <f t="shared" si="35"/>
        <v>10511-GSB-N/A</v>
      </c>
      <c r="J822" s="31" t="s">
        <v>1228</v>
      </c>
      <c r="K822" s="27" t="s">
        <v>270</v>
      </c>
      <c r="L822" s="120">
        <v>46268.0</v>
      </c>
      <c r="M822" s="27" t="s">
        <v>139</v>
      </c>
      <c r="N822" s="2">
        <v>3280.0</v>
      </c>
      <c r="O822" s="36" t="s">
        <v>1229</v>
      </c>
      <c r="P822" s="63">
        <v>46268.0</v>
      </c>
      <c r="Q822" s="38"/>
      <c r="R822" s="38"/>
      <c r="S822" s="38"/>
      <c r="T822" s="38"/>
      <c r="U822" s="38"/>
      <c r="V822" s="38"/>
    </row>
    <row r="823">
      <c r="A823" s="75">
        <v>46253.0</v>
      </c>
      <c r="B823" s="27" t="s">
        <v>616</v>
      </c>
      <c r="C823" s="27" t="s">
        <v>617</v>
      </c>
      <c r="D823" s="28" t="s">
        <v>49</v>
      </c>
      <c r="E823" s="27">
        <v>1.0</v>
      </c>
      <c r="F823" s="27" t="s">
        <v>1230</v>
      </c>
      <c r="G823" s="27" t="s">
        <v>1231</v>
      </c>
      <c r="H823" s="28">
        <v>10495.0</v>
      </c>
      <c r="I823" s="25" t="str">
        <f t="shared" si="35"/>
        <v>10495-GSB-042207947828030006</v>
      </c>
      <c r="J823" s="31" t="s">
        <v>1232</v>
      </c>
      <c r="K823" s="27" t="s">
        <v>1233</v>
      </c>
      <c r="L823" s="120">
        <v>46270.0</v>
      </c>
      <c r="M823" s="27" t="s">
        <v>139</v>
      </c>
      <c r="N823" s="2">
        <v>3628.0</v>
      </c>
      <c r="O823" s="36" t="s">
        <v>1234</v>
      </c>
      <c r="P823" s="63">
        <v>46275.0</v>
      </c>
      <c r="Q823" s="38"/>
      <c r="R823" s="38"/>
      <c r="S823" s="38"/>
      <c r="T823" s="38"/>
      <c r="U823" s="38"/>
      <c r="V823" s="38"/>
    </row>
    <row r="824">
      <c r="A824" s="75">
        <v>46184.0</v>
      </c>
      <c r="B824" s="27">
        <v>59889.0</v>
      </c>
      <c r="C824" s="27">
        <v>4.998114565E9</v>
      </c>
      <c r="D824" s="28" t="s">
        <v>2</v>
      </c>
      <c r="E824" s="27">
        <v>1.0</v>
      </c>
      <c r="F824" s="27" t="s">
        <v>1235</v>
      </c>
      <c r="G824" s="109" t="s">
        <v>35</v>
      </c>
      <c r="H824" s="28">
        <v>10349.0</v>
      </c>
      <c r="I824" s="25" t="str">
        <f t="shared" ref="I824:I841" si="36">CONCATENATE(H824,"-","GSB","-",F824)</f>
        <v>10349-GSB-SDS-1043588</v>
      </c>
      <c r="J824" s="31" t="s">
        <v>1236</v>
      </c>
      <c r="K824" s="27" t="s">
        <v>492</v>
      </c>
      <c r="L824" s="120">
        <v>46273.0</v>
      </c>
      <c r="M824" s="27" t="s">
        <v>139</v>
      </c>
      <c r="N824" s="2"/>
      <c r="O824" s="51"/>
      <c r="P824" s="93"/>
      <c r="Q824" s="38"/>
      <c r="R824" s="38"/>
      <c r="S824" s="38"/>
      <c r="T824" s="38"/>
      <c r="U824" s="38"/>
      <c r="V824" s="38"/>
    </row>
    <row r="825">
      <c r="A825" s="75">
        <v>46184.0</v>
      </c>
      <c r="B825" s="27">
        <v>59889.0</v>
      </c>
      <c r="C825" s="27">
        <v>4.998114565E9</v>
      </c>
      <c r="D825" s="28" t="s">
        <v>2</v>
      </c>
      <c r="E825" s="27">
        <v>1.0</v>
      </c>
      <c r="F825" s="27" t="s">
        <v>1237</v>
      </c>
      <c r="G825" s="109" t="s">
        <v>35</v>
      </c>
      <c r="H825" s="28">
        <v>10340.0</v>
      </c>
      <c r="I825" s="25" t="str">
        <f t="shared" si="36"/>
        <v>10340-GSB-SDS-1043597</v>
      </c>
      <c r="J825" s="31" t="s">
        <v>1236</v>
      </c>
      <c r="K825" s="27" t="s">
        <v>492</v>
      </c>
      <c r="L825" s="120">
        <v>46273.0</v>
      </c>
      <c r="M825" s="27" t="s">
        <v>139</v>
      </c>
      <c r="N825" s="2"/>
      <c r="O825" s="51"/>
      <c r="P825" s="93"/>
      <c r="Q825" s="38"/>
      <c r="R825" s="38"/>
      <c r="S825" s="38"/>
      <c r="T825" s="38"/>
      <c r="U825" s="38"/>
      <c r="V825" s="38"/>
    </row>
    <row r="826">
      <c r="A826" s="75">
        <v>46209.0</v>
      </c>
      <c r="B826" s="27" t="s">
        <v>438</v>
      </c>
      <c r="C826" s="27" t="s">
        <v>35</v>
      </c>
      <c r="D826" s="28" t="s">
        <v>41</v>
      </c>
      <c r="E826" s="27">
        <v>1.0</v>
      </c>
      <c r="F826" s="109" t="s">
        <v>35</v>
      </c>
      <c r="G826" s="27" t="s">
        <v>35</v>
      </c>
      <c r="H826" s="28">
        <v>10409.0</v>
      </c>
      <c r="I826" s="25" t="str">
        <f t="shared" si="36"/>
        <v>10409-GSB-N/A</v>
      </c>
      <c r="J826" s="31" t="s">
        <v>1236</v>
      </c>
      <c r="K826" s="27" t="s">
        <v>492</v>
      </c>
      <c r="L826" s="120">
        <v>46273.0</v>
      </c>
      <c r="M826" s="27" t="s">
        <v>139</v>
      </c>
      <c r="N826" s="2"/>
      <c r="O826" s="51"/>
      <c r="P826" s="93"/>
      <c r="Q826" s="38"/>
      <c r="R826" s="38"/>
      <c r="S826" s="38"/>
      <c r="T826" s="38"/>
      <c r="U826" s="38"/>
      <c r="V826" s="38"/>
    </row>
    <row r="827">
      <c r="A827" s="75">
        <v>46209.0</v>
      </c>
      <c r="B827" s="27" t="s">
        <v>438</v>
      </c>
      <c r="C827" s="27" t="s">
        <v>35</v>
      </c>
      <c r="D827" s="28" t="s">
        <v>41</v>
      </c>
      <c r="E827" s="27">
        <v>1.0</v>
      </c>
      <c r="F827" s="109" t="s">
        <v>35</v>
      </c>
      <c r="G827" s="27" t="s">
        <v>35</v>
      </c>
      <c r="H827" s="28">
        <v>10410.0</v>
      </c>
      <c r="I827" s="25" t="str">
        <f t="shared" si="36"/>
        <v>10410-GSB-N/A</v>
      </c>
      <c r="J827" s="31" t="s">
        <v>1236</v>
      </c>
      <c r="K827" s="27" t="s">
        <v>492</v>
      </c>
      <c r="L827" s="120">
        <v>46273.0</v>
      </c>
      <c r="M827" s="27" t="s">
        <v>139</v>
      </c>
      <c r="N827" s="2"/>
      <c r="O827" s="51"/>
      <c r="P827" s="93"/>
      <c r="Q827" s="38"/>
      <c r="R827" s="38"/>
      <c r="S827" s="38"/>
      <c r="T827" s="38"/>
      <c r="U827" s="38"/>
      <c r="V827" s="38"/>
    </row>
    <row r="828">
      <c r="A828" s="75">
        <v>46182.0</v>
      </c>
      <c r="B828" s="27" t="s">
        <v>503</v>
      </c>
      <c r="C828" s="27" t="s">
        <v>504</v>
      </c>
      <c r="D828" s="92" t="s">
        <v>42</v>
      </c>
      <c r="E828" s="27">
        <v>1.0</v>
      </c>
      <c r="F828" s="109" t="s">
        <v>35</v>
      </c>
      <c r="G828" s="27" t="s">
        <v>1238</v>
      </c>
      <c r="H828" s="28">
        <v>10230.0</v>
      </c>
      <c r="I828" s="25" t="str">
        <f t="shared" si="36"/>
        <v>10230-GSB-N/A</v>
      </c>
      <c r="J828" s="31" t="s">
        <v>1236</v>
      </c>
      <c r="K828" s="27" t="s">
        <v>492</v>
      </c>
      <c r="L828" s="120">
        <v>46273.0</v>
      </c>
      <c r="M828" s="27" t="s">
        <v>139</v>
      </c>
      <c r="N828" s="2"/>
      <c r="O828" s="51"/>
      <c r="P828" s="93"/>
      <c r="Q828" s="38"/>
      <c r="R828" s="38"/>
      <c r="S828" s="38"/>
      <c r="T828" s="38"/>
      <c r="U828" s="38"/>
      <c r="V828" s="38"/>
    </row>
    <row r="829">
      <c r="A829" s="75">
        <v>46182.0</v>
      </c>
      <c r="B829" s="27" t="s">
        <v>503</v>
      </c>
      <c r="C829" s="27" t="s">
        <v>504</v>
      </c>
      <c r="D829" s="92" t="s">
        <v>42</v>
      </c>
      <c r="E829" s="27">
        <v>1.0</v>
      </c>
      <c r="F829" s="109" t="s">
        <v>35</v>
      </c>
      <c r="G829" s="27" t="s">
        <v>1239</v>
      </c>
      <c r="H829" s="28">
        <v>10232.0</v>
      </c>
      <c r="I829" s="25" t="str">
        <f t="shared" si="36"/>
        <v>10232-GSB-N/A</v>
      </c>
      <c r="J829" s="31" t="s">
        <v>1236</v>
      </c>
      <c r="K829" s="27" t="s">
        <v>492</v>
      </c>
      <c r="L829" s="120">
        <v>46273.0</v>
      </c>
      <c r="M829" s="27" t="s">
        <v>139</v>
      </c>
      <c r="N829" s="2"/>
      <c r="O829" s="51"/>
      <c r="P829" s="93"/>
      <c r="Q829" s="38"/>
      <c r="R829" s="38"/>
      <c r="S829" s="38"/>
      <c r="T829" s="38"/>
      <c r="U829" s="38"/>
      <c r="V829" s="38"/>
    </row>
    <row r="830">
      <c r="A830" s="23">
        <v>45897.0</v>
      </c>
      <c r="B830" s="123">
        <v>46195.64238453704</v>
      </c>
      <c r="C830" s="25" t="s">
        <v>108</v>
      </c>
      <c r="D830" s="70" t="s">
        <v>43</v>
      </c>
      <c r="E830" s="25">
        <v>1.0</v>
      </c>
      <c r="F830" s="109" t="s">
        <v>35</v>
      </c>
      <c r="G830" s="25">
        <v>2.50338063E9</v>
      </c>
      <c r="H830" s="70">
        <v>7475.0</v>
      </c>
      <c r="I830" s="25" t="str">
        <f t="shared" si="36"/>
        <v>7475-GSB-N/A</v>
      </c>
      <c r="J830" s="31" t="s">
        <v>1236</v>
      </c>
      <c r="K830" s="27" t="s">
        <v>492</v>
      </c>
      <c r="L830" s="120">
        <v>46273.0</v>
      </c>
      <c r="M830" s="27" t="s">
        <v>139</v>
      </c>
      <c r="N830" s="2"/>
      <c r="O830" s="51"/>
      <c r="P830" s="93"/>
      <c r="Q830" s="38"/>
      <c r="R830" s="38"/>
      <c r="S830" s="38"/>
      <c r="T830" s="38"/>
      <c r="U830" s="38"/>
      <c r="V830" s="38"/>
    </row>
    <row r="831">
      <c r="A831" s="23">
        <v>45897.0</v>
      </c>
      <c r="B831" s="123">
        <v>46195.64249672454</v>
      </c>
      <c r="C831" s="25" t="s">
        <v>108</v>
      </c>
      <c r="D831" s="70" t="s">
        <v>43</v>
      </c>
      <c r="E831" s="25">
        <v>1.0</v>
      </c>
      <c r="F831" s="109" t="s">
        <v>35</v>
      </c>
      <c r="G831" s="25">
        <v>2.503380977E9</v>
      </c>
      <c r="H831" s="70">
        <v>7476.0</v>
      </c>
      <c r="I831" s="25" t="str">
        <f t="shared" si="36"/>
        <v>7476-GSB-N/A</v>
      </c>
      <c r="J831" s="31" t="s">
        <v>1236</v>
      </c>
      <c r="K831" s="27" t="s">
        <v>492</v>
      </c>
      <c r="L831" s="120">
        <v>46273.0</v>
      </c>
      <c r="M831" s="27" t="s">
        <v>139</v>
      </c>
      <c r="N831" s="2"/>
      <c r="O831" s="51"/>
      <c r="P831" s="93"/>
      <c r="Q831" s="38"/>
      <c r="R831" s="38"/>
      <c r="S831" s="38"/>
      <c r="T831" s="38"/>
      <c r="U831" s="38"/>
      <c r="V831" s="38"/>
    </row>
    <row r="832">
      <c r="A832" s="23">
        <v>45897.0</v>
      </c>
      <c r="B832" s="25">
        <v>2.093501849E9</v>
      </c>
      <c r="C832" s="25" t="s">
        <v>108</v>
      </c>
      <c r="D832" s="70" t="s">
        <v>43</v>
      </c>
      <c r="E832" s="25">
        <v>1.0</v>
      </c>
      <c r="F832" s="109" t="s">
        <v>35</v>
      </c>
      <c r="G832" s="25">
        <v>2.503380812E9</v>
      </c>
      <c r="H832" s="70">
        <v>7421.0</v>
      </c>
      <c r="I832" s="25" t="str">
        <f t="shared" si="36"/>
        <v>7421-GSB-N/A</v>
      </c>
      <c r="J832" s="31" t="s">
        <v>1236</v>
      </c>
      <c r="K832" s="27" t="s">
        <v>492</v>
      </c>
      <c r="L832" s="120">
        <v>46273.0</v>
      </c>
      <c r="M832" s="27" t="s">
        <v>139</v>
      </c>
      <c r="N832" s="2"/>
      <c r="O832" s="51"/>
      <c r="P832" s="93"/>
      <c r="Q832" s="38"/>
      <c r="R832" s="38"/>
      <c r="S832" s="38"/>
      <c r="T832" s="38"/>
      <c r="U832" s="38"/>
      <c r="V832" s="38"/>
    </row>
    <row r="833">
      <c r="A833" s="23">
        <v>45897.0</v>
      </c>
      <c r="B833" s="25">
        <v>2.093501849E9</v>
      </c>
      <c r="C833" s="25" t="s">
        <v>108</v>
      </c>
      <c r="D833" s="70" t="s">
        <v>43</v>
      </c>
      <c r="E833" s="25">
        <v>1.0</v>
      </c>
      <c r="F833" s="109" t="s">
        <v>35</v>
      </c>
      <c r="G833" s="25">
        <v>2.503380985E9</v>
      </c>
      <c r="H833" s="70">
        <v>7473.0</v>
      </c>
      <c r="I833" s="25" t="str">
        <f t="shared" si="36"/>
        <v>7473-GSB-N/A</v>
      </c>
      <c r="J833" s="31" t="s">
        <v>1236</v>
      </c>
      <c r="K833" s="27" t="s">
        <v>492</v>
      </c>
      <c r="L833" s="120">
        <v>46273.0</v>
      </c>
      <c r="M833" s="27" t="s">
        <v>139</v>
      </c>
      <c r="N833" s="2"/>
      <c r="O833" s="51"/>
      <c r="P833" s="93"/>
      <c r="Q833" s="38"/>
      <c r="R833" s="38"/>
      <c r="S833" s="38"/>
      <c r="T833" s="38"/>
      <c r="U833" s="38"/>
      <c r="V833" s="38"/>
    </row>
    <row r="834">
      <c r="A834" s="23">
        <v>45530.60907740741</v>
      </c>
      <c r="B834" s="25">
        <v>44430.0</v>
      </c>
      <c r="C834" s="25" t="s">
        <v>257</v>
      </c>
      <c r="D834" s="70" t="s">
        <v>57</v>
      </c>
      <c r="E834" s="25">
        <v>1.0</v>
      </c>
      <c r="F834" s="109" t="s">
        <v>35</v>
      </c>
      <c r="G834" s="109" t="s">
        <v>35</v>
      </c>
      <c r="H834" s="70">
        <v>8546.0</v>
      </c>
      <c r="I834" s="25" t="str">
        <f t="shared" si="36"/>
        <v>8546-GSB-N/A</v>
      </c>
      <c r="J834" s="31" t="s">
        <v>1236</v>
      </c>
      <c r="K834" s="27" t="s">
        <v>492</v>
      </c>
      <c r="L834" s="120">
        <v>46273.0</v>
      </c>
      <c r="M834" s="27" t="s">
        <v>139</v>
      </c>
      <c r="N834" s="2"/>
      <c r="O834" s="51"/>
      <c r="P834" s="93"/>
      <c r="Q834" s="38"/>
      <c r="R834" s="38"/>
      <c r="S834" s="38"/>
      <c r="T834" s="38"/>
      <c r="U834" s="38"/>
      <c r="V834" s="38"/>
    </row>
    <row r="835">
      <c r="A835" s="23">
        <v>45530.60907740741</v>
      </c>
      <c r="B835" s="25">
        <v>44430.0</v>
      </c>
      <c r="C835" s="25" t="s">
        <v>257</v>
      </c>
      <c r="D835" s="70" t="s">
        <v>57</v>
      </c>
      <c r="E835" s="25">
        <v>1.0</v>
      </c>
      <c r="F835" s="109" t="s">
        <v>35</v>
      </c>
      <c r="G835" s="109" t="s">
        <v>35</v>
      </c>
      <c r="H835" s="70">
        <v>8556.0</v>
      </c>
      <c r="I835" s="25" t="str">
        <f t="shared" si="36"/>
        <v>8556-GSB-N/A</v>
      </c>
      <c r="J835" s="31" t="s">
        <v>1236</v>
      </c>
      <c r="K835" s="27" t="s">
        <v>492</v>
      </c>
      <c r="L835" s="120">
        <v>46273.0</v>
      </c>
      <c r="M835" s="27" t="s">
        <v>139</v>
      </c>
      <c r="N835" s="2"/>
      <c r="O835" s="51"/>
      <c r="P835" s="93"/>
      <c r="Q835" s="38"/>
      <c r="R835" s="38"/>
      <c r="S835" s="38"/>
      <c r="T835" s="38"/>
      <c r="U835" s="38"/>
      <c r="V835" s="38"/>
    </row>
    <row r="836">
      <c r="A836" s="23">
        <v>45530.60907740741</v>
      </c>
      <c r="B836" s="25">
        <v>44430.0</v>
      </c>
      <c r="C836" s="25" t="s">
        <v>257</v>
      </c>
      <c r="D836" s="70" t="s">
        <v>57</v>
      </c>
      <c r="E836" s="25">
        <v>1.0</v>
      </c>
      <c r="F836" s="109" t="s">
        <v>35</v>
      </c>
      <c r="G836" s="109" t="s">
        <v>35</v>
      </c>
      <c r="H836" s="70">
        <v>8496.0</v>
      </c>
      <c r="I836" s="25" t="str">
        <f t="shared" si="36"/>
        <v>8496-GSB-N/A</v>
      </c>
      <c r="J836" s="31" t="s">
        <v>1236</v>
      </c>
      <c r="K836" s="27" t="s">
        <v>492</v>
      </c>
      <c r="L836" s="120">
        <v>46273.0</v>
      </c>
      <c r="M836" s="27" t="s">
        <v>139</v>
      </c>
      <c r="N836" s="2"/>
      <c r="O836" s="51"/>
      <c r="P836" s="93"/>
      <c r="Q836" s="38"/>
      <c r="R836" s="38"/>
      <c r="S836" s="38"/>
      <c r="T836" s="38"/>
      <c r="U836" s="38"/>
      <c r="V836" s="38"/>
    </row>
    <row r="837">
      <c r="A837" s="75">
        <v>46273.0</v>
      </c>
      <c r="B837" s="27" t="s">
        <v>1240</v>
      </c>
      <c r="C837" s="27" t="s">
        <v>35</v>
      </c>
      <c r="D837" s="28" t="s">
        <v>64</v>
      </c>
      <c r="E837" s="27">
        <v>1.0</v>
      </c>
      <c r="F837" s="109" t="s">
        <v>35</v>
      </c>
      <c r="G837" s="27" t="s">
        <v>35</v>
      </c>
      <c r="H837" s="28">
        <v>10512.0</v>
      </c>
      <c r="I837" s="25" t="str">
        <f t="shared" si="36"/>
        <v>10512-GSB-N/A</v>
      </c>
      <c r="J837" s="31" t="s">
        <v>1241</v>
      </c>
      <c r="K837" s="27" t="s">
        <v>1242</v>
      </c>
      <c r="L837" s="120">
        <v>46273.0</v>
      </c>
      <c r="M837" s="27" t="s">
        <v>139</v>
      </c>
      <c r="N837" s="2"/>
      <c r="O837" s="51"/>
      <c r="P837" s="93"/>
      <c r="Q837" s="38"/>
      <c r="R837" s="38"/>
      <c r="S837" s="38"/>
      <c r="T837" s="38"/>
      <c r="U837" s="38"/>
      <c r="V837" s="38"/>
    </row>
    <row r="838">
      <c r="A838" s="75">
        <v>46274.0</v>
      </c>
      <c r="B838" s="27" t="s">
        <v>1243</v>
      </c>
      <c r="C838" s="27" t="s">
        <v>35</v>
      </c>
      <c r="D838" s="28" t="s">
        <v>31</v>
      </c>
      <c r="E838" s="27">
        <v>1.0</v>
      </c>
      <c r="F838" s="109" t="s">
        <v>35</v>
      </c>
      <c r="G838" s="27" t="s">
        <v>35</v>
      </c>
      <c r="H838" s="28">
        <v>10513.0</v>
      </c>
      <c r="I838" s="25" t="str">
        <f t="shared" si="36"/>
        <v>10513-GSB-N/A</v>
      </c>
      <c r="J838" s="31" t="s">
        <v>725</v>
      </c>
      <c r="K838" s="27" t="s">
        <v>55</v>
      </c>
      <c r="L838" s="120">
        <v>46274.0</v>
      </c>
      <c r="M838" s="27" t="s">
        <v>139</v>
      </c>
      <c r="N838" s="2"/>
      <c r="O838" s="51"/>
      <c r="P838" s="93"/>
      <c r="Q838" s="38"/>
      <c r="R838" s="38"/>
      <c r="S838" s="38"/>
      <c r="T838" s="38"/>
      <c r="U838" s="38"/>
      <c r="V838" s="38"/>
    </row>
    <row r="839">
      <c r="A839" s="75">
        <v>46274.0</v>
      </c>
      <c r="B839" s="27" t="s">
        <v>1243</v>
      </c>
      <c r="C839" s="27" t="s">
        <v>35</v>
      </c>
      <c r="D839" s="28" t="s">
        <v>31</v>
      </c>
      <c r="E839" s="27">
        <v>1.0</v>
      </c>
      <c r="F839" s="109" t="s">
        <v>35</v>
      </c>
      <c r="G839" s="27" t="s">
        <v>35</v>
      </c>
      <c r="H839" s="28">
        <v>10514.0</v>
      </c>
      <c r="I839" s="25" t="str">
        <f t="shared" si="36"/>
        <v>10514-GSB-N/A</v>
      </c>
      <c r="J839" s="31" t="s">
        <v>725</v>
      </c>
      <c r="K839" s="27" t="s">
        <v>55</v>
      </c>
      <c r="L839" s="120">
        <v>46274.0</v>
      </c>
      <c r="M839" s="27" t="s">
        <v>139</v>
      </c>
      <c r="N839" s="2"/>
      <c r="O839" s="51"/>
      <c r="P839" s="93"/>
      <c r="Q839" s="38"/>
      <c r="R839" s="38"/>
      <c r="S839" s="38"/>
      <c r="T839" s="38"/>
      <c r="U839" s="38"/>
      <c r="V839" s="38"/>
    </row>
    <row r="840">
      <c r="A840" s="75">
        <v>46274.0</v>
      </c>
      <c r="B840" s="27" t="s">
        <v>1243</v>
      </c>
      <c r="C840" s="27" t="s">
        <v>35</v>
      </c>
      <c r="D840" s="28" t="s">
        <v>31</v>
      </c>
      <c r="E840" s="27">
        <v>1.0</v>
      </c>
      <c r="F840" s="109" t="s">
        <v>35</v>
      </c>
      <c r="G840" s="27" t="s">
        <v>35</v>
      </c>
      <c r="H840" s="28">
        <v>10515.0</v>
      </c>
      <c r="I840" s="25" t="str">
        <f t="shared" si="36"/>
        <v>10515-GSB-N/A</v>
      </c>
      <c r="J840" s="31" t="s">
        <v>725</v>
      </c>
      <c r="K840" s="27" t="s">
        <v>55</v>
      </c>
      <c r="L840" s="120">
        <v>46274.0</v>
      </c>
      <c r="M840" s="27" t="s">
        <v>139</v>
      </c>
      <c r="N840" s="2"/>
      <c r="O840" s="51"/>
      <c r="P840" s="93"/>
      <c r="Q840" s="38"/>
      <c r="R840" s="38"/>
      <c r="S840" s="38"/>
      <c r="T840" s="38"/>
      <c r="U840" s="38"/>
      <c r="V840" s="38"/>
    </row>
    <row r="841">
      <c r="A841" s="23">
        <v>45897.0</v>
      </c>
      <c r="B841" s="25">
        <v>2.093501849E9</v>
      </c>
      <c r="C841" s="27" t="s">
        <v>352</v>
      </c>
      <c r="D841" s="28" t="s">
        <v>59</v>
      </c>
      <c r="E841" s="27">
        <v>1.0</v>
      </c>
      <c r="F841" s="109" t="s">
        <v>35</v>
      </c>
      <c r="G841" s="27" t="s">
        <v>1244</v>
      </c>
      <c r="H841" s="28">
        <v>4290.0</v>
      </c>
      <c r="I841" s="25" t="str">
        <f t="shared" si="36"/>
        <v>4290-GSB-N/A</v>
      </c>
      <c r="J841" s="31" t="s">
        <v>1245</v>
      </c>
      <c r="K841" s="27" t="s">
        <v>1246</v>
      </c>
      <c r="L841" s="120">
        <v>46275.0</v>
      </c>
      <c r="M841" s="27" t="s">
        <v>139</v>
      </c>
      <c r="N841" s="2"/>
      <c r="O841" s="51"/>
      <c r="P841" s="93"/>
      <c r="Q841" s="38"/>
      <c r="R841" s="38"/>
      <c r="S841" s="38"/>
      <c r="T841" s="38"/>
      <c r="U841" s="38"/>
      <c r="V841" s="38"/>
    </row>
    <row r="842">
      <c r="A842" s="75">
        <v>46275.0</v>
      </c>
      <c r="B842" s="27" t="s">
        <v>34</v>
      </c>
      <c r="C842" s="27" t="s">
        <v>35</v>
      </c>
      <c r="D842" s="28" t="s">
        <v>31</v>
      </c>
      <c r="E842" s="27">
        <v>1.0</v>
      </c>
      <c r="F842" s="109" t="s">
        <v>1247</v>
      </c>
      <c r="G842" s="27" t="s">
        <v>35</v>
      </c>
      <c r="H842" s="28">
        <v>10516.0</v>
      </c>
      <c r="I842" s="25" t="str">
        <f t="shared" ref="I842:I849" si="37">CONCATENATE(H842,"-","GSB","-",G842)</f>
        <v>10516-GSB-N/A</v>
      </c>
      <c r="J842" s="31" t="s">
        <v>151</v>
      </c>
      <c r="K842" s="27" t="s">
        <v>85</v>
      </c>
      <c r="L842" s="120">
        <v>46279.0</v>
      </c>
      <c r="M842" s="27" t="s">
        <v>139</v>
      </c>
      <c r="N842" s="2"/>
      <c r="O842" s="51"/>
      <c r="P842" s="93"/>
      <c r="Q842" s="38"/>
      <c r="R842" s="38"/>
      <c r="S842" s="38"/>
      <c r="T842" s="38"/>
      <c r="U842" s="38"/>
      <c r="V842" s="38"/>
    </row>
    <row r="843">
      <c r="A843" s="75">
        <v>46275.0</v>
      </c>
      <c r="B843" s="27" t="s">
        <v>34</v>
      </c>
      <c r="C843" s="27" t="s">
        <v>35</v>
      </c>
      <c r="D843" s="28" t="s">
        <v>31</v>
      </c>
      <c r="E843" s="27">
        <v>1.0</v>
      </c>
      <c r="F843" s="109" t="s">
        <v>1248</v>
      </c>
      <c r="G843" s="27" t="s">
        <v>35</v>
      </c>
      <c r="H843" s="28">
        <v>10520.0</v>
      </c>
      <c r="I843" s="25" t="str">
        <f t="shared" si="37"/>
        <v>10520-GSB-N/A</v>
      </c>
      <c r="J843" s="31" t="s">
        <v>151</v>
      </c>
      <c r="K843" s="27" t="s">
        <v>85</v>
      </c>
      <c r="L843" s="120">
        <v>46279.0</v>
      </c>
      <c r="M843" s="27" t="s">
        <v>139</v>
      </c>
      <c r="N843" s="2"/>
      <c r="O843" s="51"/>
      <c r="P843" s="93"/>
      <c r="Q843" s="38"/>
      <c r="R843" s="38"/>
      <c r="S843" s="38"/>
      <c r="T843" s="38"/>
      <c r="U843" s="38"/>
      <c r="V843" s="38"/>
    </row>
    <row r="844">
      <c r="A844" s="75">
        <v>46253.0</v>
      </c>
      <c r="B844" s="27" t="s">
        <v>616</v>
      </c>
      <c r="C844" s="27" t="s">
        <v>617</v>
      </c>
      <c r="D844" s="28" t="s">
        <v>49</v>
      </c>
      <c r="E844" s="27">
        <v>1.0</v>
      </c>
      <c r="F844" s="27" t="s">
        <v>1249</v>
      </c>
      <c r="G844" s="109" t="s">
        <v>1250</v>
      </c>
      <c r="H844" s="28">
        <v>10493.0</v>
      </c>
      <c r="I844" s="25" t="str">
        <f t="shared" si="37"/>
        <v>10493-GSB-042207947828030058</v>
      </c>
      <c r="J844" s="31" t="s">
        <v>151</v>
      </c>
      <c r="K844" s="27" t="s">
        <v>85</v>
      </c>
      <c r="L844" s="120">
        <v>46279.0</v>
      </c>
      <c r="M844" s="27" t="s">
        <v>139</v>
      </c>
      <c r="N844" s="2"/>
      <c r="O844" s="51"/>
      <c r="P844" s="93"/>
      <c r="Q844" s="38"/>
      <c r="R844" s="38"/>
      <c r="S844" s="38"/>
      <c r="T844" s="38"/>
      <c r="U844" s="38"/>
      <c r="V844" s="38"/>
    </row>
    <row r="845">
      <c r="A845" s="75">
        <v>46275.0</v>
      </c>
      <c r="B845" s="27" t="s">
        <v>34</v>
      </c>
      <c r="C845" s="27" t="s">
        <v>35</v>
      </c>
      <c r="D845" s="28" t="s">
        <v>67</v>
      </c>
      <c r="E845" s="27">
        <v>1.0</v>
      </c>
      <c r="F845" s="27" t="s">
        <v>1251</v>
      </c>
      <c r="G845" s="27" t="s">
        <v>35</v>
      </c>
      <c r="H845" s="28">
        <v>10652.0</v>
      </c>
      <c r="I845" s="31" t="str">
        <f t="shared" si="37"/>
        <v>10652-GSB-N/A</v>
      </c>
      <c r="J845" s="31" t="s">
        <v>151</v>
      </c>
      <c r="K845" s="27" t="s">
        <v>85</v>
      </c>
      <c r="L845" s="120">
        <v>46279.0</v>
      </c>
      <c r="M845" s="27" t="s">
        <v>139</v>
      </c>
      <c r="N845" s="2"/>
      <c r="O845" s="51"/>
      <c r="P845" s="93"/>
      <c r="Q845" s="38"/>
      <c r="R845" s="38"/>
      <c r="S845" s="38"/>
      <c r="T845" s="38"/>
      <c r="U845" s="38"/>
      <c r="V845" s="38"/>
    </row>
    <row r="846">
      <c r="A846" s="75">
        <v>46275.0</v>
      </c>
      <c r="B846" s="27" t="s">
        <v>252</v>
      </c>
      <c r="C846" s="27" t="s">
        <v>35</v>
      </c>
      <c r="D846" s="92" t="s">
        <v>47</v>
      </c>
      <c r="E846" s="27">
        <v>1.0</v>
      </c>
      <c r="F846" s="27" t="s">
        <v>1252</v>
      </c>
      <c r="G846" s="27" t="s">
        <v>35</v>
      </c>
      <c r="H846" s="28">
        <v>10565.0</v>
      </c>
      <c r="I846" s="25" t="str">
        <f t="shared" si="37"/>
        <v>10565-GSB-N/A</v>
      </c>
      <c r="J846" s="31" t="s">
        <v>151</v>
      </c>
      <c r="K846" s="27" t="s">
        <v>85</v>
      </c>
      <c r="L846" s="120">
        <v>46279.0</v>
      </c>
      <c r="M846" s="27" t="s">
        <v>139</v>
      </c>
      <c r="N846" s="2"/>
      <c r="O846" s="51"/>
      <c r="P846" s="93"/>
      <c r="Q846" s="38"/>
      <c r="R846" s="38"/>
      <c r="S846" s="38"/>
      <c r="T846" s="38"/>
      <c r="U846" s="38"/>
      <c r="V846" s="38"/>
    </row>
    <row r="847">
      <c r="A847" s="98">
        <v>46275.0</v>
      </c>
      <c r="B847" s="35" t="s">
        <v>34</v>
      </c>
      <c r="C847" s="35" t="s">
        <v>35</v>
      </c>
      <c r="D847" s="92" t="s">
        <v>67</v>
      </c>
      <c r="E847" s="35">
        <v>1.0</v>
      </c>
      <c r="F847" s="35" t="s">
        <v>21</v>
      </c>
      <c r="G847" s="35" t="s">
        <v>35</v>
      </c>
      <c r="H847" s="92">
        <v>10635.0</v>
      </c>
      <c r="I847" s="48" t="str">
        <f t="shared" si="37"/>
        <v>10635-GSB-N/A</v>
      </c>
      <c r="J847" s="48" t="s">
        <v>151</v>
      </c>
      <c r="K847" s="35" t="s">
        <v>1211</v>
      </c>
      <c r="L847" s="34">
        <v>46279.0</v>
      </c>
      <c r="M847" s="35" t="s">
        <v>139</v>
      </c>
      <c r="N847" s="2"/>
      <c r="O847" s="51"/>
      <c r="P847" s="93"/>
      <c r="Q847" s="38"/>
      <c r="R847" s="38"/>
      <c r="S847" s="38"/>
      <c r="T847" s="38"/>
      <c r="U847" s="38"/>
      <c r="V847" s="38"/>
    </row>
    <row r="848">
      <c r="A848" s="98">
        <v>46275.0</v>
      </c>
      <c r="B848" s="35" t="s">
        <v>34</v>
      </c>
      <c r="C848" s="35" t="s">
        <v>35</v>
      </c>
      <c r="D848" s="92" t="s">
        <v>67</v>
      </c>
      <c r="E848" s="35">
        <v>1.0</v>
      </c>
      <c r="F848" s="35" t="s">
        <v>18</v>
      </c>
      <c r="G848" s="35" t="s">
        <v>35</v>
      </c>
      <c r="H848" s="92">
        <v>10636.0</v>
      </c>
      <c r="I848" s="48" t="str">
        <f t="shared" si="37"/>
        <v>10636-GSB-N/A</v>
      </c>
      <c r="J848" s="48" t="s">
        <v>151</v>
      </c>
      <c r="K848" s="35" t="s">
        <v>1211</v>
      </c>
      <c r="L848" s="34">
        <v>46279.0</v>
      </c>
      <c r="M848" s="35" t="s">
        <v>139</v>
      </c>
      <c r="N848" s="2"/>
      <c r="O848" s="51"/>
      <c r="P848" s="93"/>
      <c r="Q848" s="38"/>
      <c r="R848" s="38"/>
      <c r="S848" s="38"/>
      <c r="T848" s="38"/>
      <c r="U848" s="38"/>
      <c r="V848" s="38"/>
    </row>
    <row r="849">
      <c r="A849" s="98">
        <v>46275.0</v>
      </c>
      <c r="B849" s="35" t="s">
        <v>252</v>
      </c>
      <c r="C849" s="35" t="s">
        <v>35</v>
      </c>
      <c r="D849" s="92" t="s">
        <v>47</v>
      </c>
      <c r="E849" s="35">
        <v>1.0</v>
      </c>
      <c r="F849" s="35" t="s">
        <v>1253</v>
      </c>
      <c r="G849" s="35" t="s">
        <v>35</v>
      </c>
      <c r="H849" s="92">
        <v>10564.0</v>
      </c>
      <c r="I849" s="100" t="str">
        <f t="shared" si="37"/>
        <v>10564-GSB-N/A</v>
      </c>
      <c r="J849" s="48" t="s">
        <v>151</v>
      </c>
      <c r="K849" s="35" t="s">
        <v>1211</v>
      </c>
      <c r="L849" s="34">
        <v>46279.0</v>
      </c>
      <c r="M849" s="35" t="s">
        <v>139</v>
      </c>
      <c r="N849" s="2"/>
      <c r="O849" s="51"/>
      <c r="P849" s="93"/>
      <c r="Q849" s="38"/>
      <c r="R849" s="38"/>
      <c r="S849" s="38"/>
      <c r="T849" s="38"/>
      <c r="U849" s="38"/>
      <c r="V849" s="38"/>
    </row>
    <row r="850">
      <c r="A850" s="98">
        <v>45897.0</v>
      </c>
      <c r="B850" s="35">
        <v>2.093501849E9</v>
      </c>
      <c r="C850" s="35" t="s">
        <v>35</v>
      </c>
      <c r="D850" s="92" t="s">
        <v>32</v>
      </c>
      <c r="E850" s="35">
        <v>1.0</v>
      </c>
      <c r="F850" s="35" t="s">
        <v>1254</v>
      </c>
      <c r="G850" s="119" t="s">
        <v>35</v>
      </c>
      <c r="H850" s="92">
        <v>9081.0</v>
      </c>
      <c r="I850" s="100" t="str">
        <f t="shared" ref="I850:I851" si="38">CONCATENATE(H850,"-","GSB","-",F850)</f>
        <v>9081-GSB-SDS - 1026046</v>
      </c>
      <c r="J850" s="48" t="s">
        <v>151</v>
      </c>
      <c r="K850" s="35" t="s">
        <v>1211</v>
      </c>
      <c r="L850" s="34">
        <v>46279.0</v>
      </c>
      <c r="M850" s="35" t="s">
        <v>139</v>
      </c>
      <c r="N850" s="2"/>
      <c r="O850" s="51"/>
      <c r="P850" s="93"/>
      <c r="Q850" s="38"/>
      <c r="R850" s="38"/>
      <c r="S850" s="38"/>
      <c r="T850" s="38"/>
      <c r="U850" s="38"/>
      <c r="V850" s="38"/>
    </row>
    <row r="851">
      <c r="A851" s="98" t="s">
        <v>654</v>
      </c>
      <c r="B851" s="35" t="s">
        <v>655</v>
      </c>
      <c r="C851" s="35" t="s">
        <v>129</v>
      </c>
      <c r="D851" s="92" t="s">
        <v>61</v>
      </c>
      <c r="E851" s="35">
        <v>1.0</v>
      </c>
      <c r="F851" s="35" t="s">
        <v>1255</v>
      </c>
      <c r="G851" s="119" t="s">
        <v>35</v>
      </c>
      <c r="H851" s="92">
        <v>10287.0</v>
      </c>
      <c r="I851" s="100" t="str">
        <f t="shared" si="38"/>
        <v>10287-GSB-SDS/1043546</v>
      </c>
      <c r="J851" s="48" t="s">
        <v>151</v>
      </c>
      <c r="K851" s="35" t="s">
        <v>1211</v>
      </c>
      <c r="L851" s="34">
        <v>46279.0</v>
      </c>
      <c r="M851" s="35" t="s">
        <v>139</v>
      </c>
      <c r="N851" s="2"/>
      <c r="O851" s="51"/>
      <c r="P851" s="93"/>
      <c r="Q851" s="38"/>
      <c r="R851" s="38"/>
      <c r="S851" s="38"/>
      <c r="T851" s="38"/>
      <c r="U851" s="38"/>
      <c r="V851" s="38"/>
    </row>
    <row r="852">
      <c r="A852" s="98">
        <v>46253.0</v>
      </c>
      <c r="B852" s="35" t="s">
        <v>616</v>
      </c>
      <c r="C852" s="35" t="s">
        <v>617</v>
      </c>
      <c r="D852" s="92" t="s">
        <v>49</v>
      </c>
      <c r="E852" s="35">
        <v>1.0</v>
      </c>
      <c r="F852" s="35" t="s">
        <v>1256</v>
      </c>
      <c r="G852" s="119" t="s">
        <v>1257</v>
      </c>
      <c r="H852" s="92">
        <v>10496.0</v>
      </c>
      <c r="I852" s="100" t="str">
        <f>CONCATENATE(H852,"-","GSB","-",G852)</f>
        <v>10496-GSB-042207947828030012</v>
      </c>
      <c r="J852" s="48" t="s">
        <v>151</v>
      </c>
      <c r="K852" s="35" t="s">
        <v>1211</v>
      </c>
      <c r="L852" s="34">
        <v>46279.0</v>
      </c>
      <c r="M852" s="35" t="s">
        <v>139</v>
      </c>
      <c r="N852" s="2"/>
      <c r="O852" s="51"/>
      <c r="P852" s="93"/>
      <c r="Q852" s="38"/>
      <c r="R852" s="38"/>
      <c r="S852" s="38"/>
      <c r="T852" s="38"/>
      <c r="U852" s="38"/>
      <c r="V852" s="38"/>
    </row>
    <row r="853">
      <c r="A853" s="98">
        <v>46209.0</v>
      </c>
      <c r="B853" s="35" t="s">
        <v>438</v>
      </c>
      <c r="C853" s="35" t="s">
        <v>35</v>
      </c>
      <c r="D853" s="92" t="s">
        <v>36</v>
      </c>
      <c r="E853" s="35">
        <v>1.0</v>
      </c>
      <c r="F853" s="35" t="s">
        <v>35</v>
      </c>
      <c r="G853" s="119" t="s">
        <v>35</v>
      </c>
      <c r="H853" s="92" t="s">
        <v>35</v>
      </c>
      <c r="I853" s="100" t="str">
        <f t="shared" ref="I853:I856" si="39">CONCATENATE(H853,"-","GSB","-",F853)</f>
        <v>N/A-GSB-N/A</v>
      </c>
      <c r="J853" s="48" t="s">
        <v>151</v>
      </c>
      <c r="K853" s="35" t="s">
        <v>1211</v>
      </c>
      <c r="L853" s="34">
        <v>46279.0</v>
      </c>
      <c r="M853" s="35" t="s">
        <v>139</v>
      </c>
      <c r="N853" s="2"/>
      <c r="O853" s="51"/>
      <c r="P853" s="93"/>
      <c r="Q853" s="38"/>
      <c r="R853" s="38"/>
      <c r="S853" s="38"/>
      <c r="T853" s="38"/>
      <c r="U853" s="38"/>
      <c r="V853" s="38"/>
    </row>
    <row r="854">
      <c r="A854" s="98">
        <v>46209.0</v>
      </c>
      <c r="B854" s="35" t="s">
        <v>438</v>
      </c>
      <c r="C854" s="35" t="s">
        <v>35</v>
      </c>
      <c r="D854" s="92" t="s">
        <v>36</v>
      </c>
      <c r="E854" s="35">
        <v>1.0</v>
      </c>
      <c r="F854" s="35" t="s">
        <v>35</v>
      </c>
      <c r="G854" s="119" t="s">
        <v>35</v>
      </c>
      <c r="H854" s="92" t="s">
        <v>35</v>
      </c>
      <c r="I854" s="100" t="str">
        <f t="shared" si="39"/>
        <v>N/A-GSB-N/A</v>
      </c>
      <c r="J854" s="48" t="s">
        <v>151</v>
      </c>
      <c r="K854" s="35" t="s">
        <v>1211</v>
      </c>
      <c r="L854" s="34">
        <v>46279.0</v>
      </c>
      <c r="M854" s="35" t="s">
        <v>139</v>
      </c>
      <c r="N854" s="2"/>
      <c r="O854" s="51"/>
      <c r="P854" s="93"/>
      <c r="Q854" s="38"/>
      <c r="R854" s="38"/>
      <c r="S854" s="38"/>
      <c r="T854" s="38"/>
      <c r="U854" s="38"/>
      <c r="V854" s="38"/>
    </row>
    <row r="855">
      <c r="A855" s="98">
        <v>46209.0</v>
      </c>
      <c r="B855" s="35" t="s">
        <v>438</v>
      </c>
      <c r="C855" s="35" t="s">
        <v>35</v>
      </c>
      <c r="D855" s="92" t="s">
        <v>36</v>
      </c>
      <c r="E855" s="35">
        <v>1.0</v>
      </c>
      <c r="F855" s="35" t="s">
        <v>35</v>
      </c>
      <c r="G855" s="119" t="s">
        <v>35</v>
      </c>
      <c r="H855" s="92" t="s">
        <v>35</v>
      </c>
      <c r="I855" s="100" t="str">
        <f t="shared" si="39"/>
        <v>N/A-GSB-N/A</v>
      </c>
      <c r="J855" s="48" t="s">
        <v>151</v>
      </c>
      <c r="K855" s="35" t="s">
        <v>1211</v>
      </c>
      <c r="L855" s="34">
        <v>46279.0</v>
      </c>
      <c r="M855" s="35" t="s">
        <v>139</v>
      </c>
      <c r="N855" s="2"/>
      <c r="O855" s="51"/>
      <c r="P855" s="93"/>
      <c r="Q855" s="38"/>
      <c r="R855" s="38"/>
      <c r="S855" s="38"/>
      <c r="T855" s="38"/>
      <c r="U855" s="38"/>
      <c r="V855" s="38"/>
    </row>
    <row r="856">
      <c r="A856" s="75">
        <v>46253.0</v>
      </c>
      <c r="B856" s="27" t="s">
        <v>35</v>
      </c>
      <c r="C856" s="27">
        <v>4.998114565E9</v>
      </c>
      <c r="D856" s="28" t="s">
        <v>2</v>
      </c>
      <c r="E856" s="27">
        <v>1.0</v>
      </c>
      <c r="F856" s="27" t="s">
        <v>1258</v>
      </c>
      <c r="G856" s="109" t="s">
        <v>35</v>
      </c>
      <c r="H856" s="28">
        <v>10477.0</v>
      </c>
      <c r="I856" s="25" t="str">
        <f t="shared" si="39"/>
        <v>10477-GSB-SDS/1044585</v>
      </c>
      <c r="J856" s="48" t="s">
        <v>151</v>
      </c>
      <c r="K856" s="35" t="s">
        <v>1211</v>
      </c>
      <c r="L856" s="120">
        <v>46279.0</v>
      </c>
      <c r="M856" s="27" t="s">
        <v>139</v>
      </c>
      <c r="N856" s="2"/>
      <c r="O856" s="51"/>
      <c r="P856" s="93"/>
      <c r="Q856" s="38"/>
      <c r="R856" s="38"/>
      <c r="S856" s="38"/>
      <c r="T856" s="38"/>
      <c r="U856" s="38"/>
      <c r="V856" s="38"/>
    </row>
    <row r="857">
      <c r="A857" s="22"/>
      <c r="B857" s="24"/>
      <c r="C857" s="24"/>
      <c r="D857" s="2"/>
      <c r="E857" s="24"/>
      <c r="F857" s="26"/>
      <c r="G857" s="24"/>
      <c r="H857" s="2"/>
      <c r="I857" s="32"/>
      <c r="J857" s="32"/>
      <c r="K857" s="24"/>
      <c r="L857" s="54"/>
      <c r="M857" s="24"/>
      <c r="N857" s="2"/>
      <c r="O857" s="51"/>
      <c r="P857" s="93"/>
      <c r="Q857" s="38"/>
      <c r="R857" s="38"/>
      <c r="S857" s="38"/>
      <c r="T857" s="38"/>
      <c r="U857" s="38"/>
      <c r="V857" s="38"/>
    </row>
    <row r="858">
      <c r="A858" s="22"/>
      <c r="B858" s="24"/>
      <c r="C858" s="24"/>
      <c r="D858" s="2"/>
      <c r="E858" s="24"/>
      <c r="F858" s="26"/>
      <c r="G858" s="24"/>
      <c r="H858" s="2"/>
      <c r="I858" s="32"/>
      <c r="J858" s="32"/>
      <c r="K858" s="24"/>
      <c r="L858" s="54"/>
      <c r="M858" s="24"/>
      <c r="N858" s="2"/>
      <c r="O858" s="51"/>
      <c r="P858" s="93"/>
      <c r="Q858" s="38"/>
      <c r="R858" s="38"/>
      <c r="S858" s="38"/>
      <c r="T858" s="38"/>
      <c r="U858" s="38"/>
      <c r="V858" s="38"/>
    </row>
    <row r="859">
      <c r="A859" s="22"/>
      <c r="B859" s="24"/>
      <c r="C859" s="24"/>
      <c r="D859" s="2"/>
      <c r="E859" s="24"/>
      <c r="F859" s="26"/>
      <c r="G859" s="24"/>
      <c r="H859" s="2"/>
      <c r="I859" s="32"/>
      <c r="J859" s="32"/>
      <c r="K859" s="24"/>
      <c r="L859" s="54"/>
      <c r="M859" s="24"/>
      <c r="N859" s="2"/>
      <c r="O859" s="51"/>
      <c r="P859" s="93"/>
      <c r="Q859" s="38"/>
      <c r="R859" s="38"/>
      <c r="S859" s="38"/>
      <c r="T859" s="38"/>
      <c r="U859" s="38"/>
      <c r="V859" s="38"/>
    </row>
    <row r="860">
      <c r="A860" s="22"/>
      <c r="B860" s="24"/>
      <c r="C860" s="24"/>
      <c r="D860" s="2"/>
      <c r="E860" s="24"/>
      <c r="F860" s="26"/>
      <c r="G860" s="24"/>
      <c r="H860" s="2"/>
      <c r="I860" s="32"/>
      <c r="J860" s="32"/>
      <c r="K860" s="24"/>
      <c r="L860" s="54"/>
      <c r="M860" s="24"/>
      <c r="N860" s="2"/>
      <c r="O860" s="51"/>
      <c r="P860" s="93"/>
      <c r="Q860" s="38"/>
      <c r="R860" s="38"/>
      <c r="S860" s="38"/>
      <c r="T860" s="38"/>
      <c r="U860" s="38"/>
      <c r="V860" s="38"/>
    </row>
    <row r="861">
      <c r="A861" s="22"/>
      <c r="B861" s="24"/>
      <c r="C861" s="24"/>
      <c r="D861" s="2"/>
      <c r="E861" s="24"/>
      <c r="F861" s="26"/>
      <c r="G861" s="24"/>
      <c r="H861" s="2"/>
      <c r="I861" s="32"/>
      <c r="J861" s="32"/>
      <c r="K861" s="24"/>
      <c r="L861" s="54"/>
      <c r="M861" s="24"/>
      <c r="N861" s="2"/>
      <c r="O861" s="51"/>
      <c r="P861" s="93"/>
      <c r="Q861" s="38"/>
      <c r="R861" s="38"/>
      <c r="S861" s="38"/>
      <c r="T861" s="38"/>
      <c r="U861" s="38"/>
      <c r="V861" s="38"/>
    </row>
    <row r="862">
      <c r="A862" s="22"/>
      <c r="B862" s="24"/>
      <c r="C862" s="24"/>
      <c r="D862" s="2"/>
      <c r="E862" s="24"/>
      <c r="F862" s="26"/>
      <c r="G862" s="24"/>
      <c r="H862" s="2"/>
      <c r="I862" s="32"/>
      <c r="J862" s="32"/>
      <c r="K862" s="24"/>
      <c r="L862" s="54"/>
      <c r="M862" s="24"/>
      <c r="N862" s="2"/>
      <c r="O862" s="51"/>
      <c r="P862" s="93"/>
      <c r="Q862" s="38"/>
      <c r="R862" s="38"/>
      <c r="S862" s="38"/>
      <c r="T862" s="38"/>
      <c r="U862" s="38"/>
      <c r="V862" s="38"/>
    </row>
    <row r="863">
      <c r="A863" s="22"/>
      <c r="B863" s="24"/>
      <c r="C863" s="24"/>
      <c r="D863" s="2"/>
      <c r="E863" s="24"/>
      <c r="F863" s="26"/>
      <c r="G863" s="24"/>
      <c r="H863" s="2"/>
      <c r="I863" s="32"/>
      <c r="J863" s="32"/>
      <c r="K863" s="24"/>
      <c r="L863" s="54"/>
      <c r="M863" s="24"/>
      <c r="N863" s="2"/>
      <c r="O863" s="51"/>
      <c r="P863" s="93"/>
      <c r="Q863" s="38"/>
      <c r="R863" s="38"/>
      <c r="S863" s="38"/>
      <c r="T863" s="38"/>
      <c r="U863" s="38"/>
      <c r="V863" s="38"/>
    </row>
    <row r="864">
      <c r="A864" s="22"/>
      <c r="B864" s="24"/>
      <c r="C864" s="24"/>
      <c r="D864" s="2"/>
      <c r="E864" s="24"/>
      <c r="F864" s="26"/>
      <c r="G864" s="24"/>
      <c r="H864" s="2"/>
      <c r="I864" s="32"/>
      <c r="J864" s="32"/>
      <c r="K864" s="24"/>
      <c r="L864" s="54"/>
      <c r="M864" s="24"/>
      <c r="N864" s="2"/>
      <c r="O864" s="51"/>
      <c r="P864" s="93"/>
      <c r="Q864" s="38"/>
      <c r="R864" s="38"/>
      <c r="S864" s="38"/>
      <c r="T864" s="38"/>
      <c r="U864" s="38"/>
      <c r="V864" s="38"/>
    </row>
    <row r="865">
      <c r="A865" s="22"/>
      <c r="B865" s="24"/>
      <c r="C865" s="24"/>
      <c r="D865" s="2"/>
      <c r="E865" s="24"/>
      <c r="F865" s="26"/>
      <c r="G865" s="24"/>
      <c r="H865" s="2"/>
      <c r="I865" s="32"/>
      <c r="J865" s="32"/>
      <c r="K865" s="24"/>
      <c r="L865" s="54"/>
      <c r="M865" s="24"/>
      <c r="N865" s="2"/>
      <c r="O865" s="51"/>
      <c r="P865" s="93"/>
      <c r="Q865" s="38"/>
      <c r="R865" s="38"/>
      <c r="S865" s="38"/>
      <c r="T865" s="38"/>
      <c r="U865" s="38"/>
      <c r="V865" s="38"/>
    </row>
    <row r="866">
      <c r="A866" s="22"/>
      <c r="B866" s="24"/>
      <c r="C866" s="24"/>
      <c r="D866" s="2"/>
      <c r="E866" s="24"/>
      <c r="F866" s="26"/>
      <c r="G866" s="24"/>
      <c r="H866" s="2"/>
      <c r="I866" s="32"/>
      <c r="J866" s="32"/>
      <c r="K866" s="24"/>
      <c r="L866" s="54"/>
      <c r="M866" s="24"/>
      <c r="N866" s="2"/>
      <c r="O866" s="51"/>
      <c r="P866" s="93"/>
      <c r="Q866" s="38"/>
      <c r="R866" s="38"/>
      <c r="S866" s="38"/>
      <c r="T866" s="38"/>
      <c r="U866" s="38"/>
      <c r="V866" s="38"/>
    </row>
    <row r="867">
      <c r="A867" s="22"/>
      <c r="B867" s="24"/>
      <c r="C867" s="24"/>
      <c r="D867" s="2"/>
      <c r="E867" s="24"/>
      <c r="F867" s="26"/>
      <c r="G867" s="24"/>
      <c r="H867" s="2"/>
      <c r="I867" s="32"/>
      <c r="J867" s="32"/>
      <c r="K867" s="24"/>
      <c r="L867" s="54"/>
      <c r="M867" s="24"/>
      <c r="N867" s="2"/>
      <c r="O867" s="51"/>
      <c r="P867" s="93"/>
      <c r="Q867" s="38"/>
      <c r="R867" s="38"/>
      <c r="S867" s="38"/>
      <c r="T867" s="38"/>
      <c r="U867" s="38"/>
      <c r="V867" s="38"/>
    </row>
    <row r="868">
      <c r="A868" s="22"/>
      <c r="B868" s="24"/>
      <c r="C868" s="24"/>
      <c r="D868" s="2"/>
      <c r="E868" s="24"/>
      <c r="F868" s="26"/>
      <c r="G868" s="24"/>
      <c r="H868" s="2"/>
      <c r="I868" s="32"/>
      <c r="J868" s="32"/>
      <c r="K868" s="24"/>
      <c r="L868" s="54"/>
      <c r="M868" s="24"/>
      <c r="N868" s="2"/>
      <c r="O868" s="51"/>
      <c r="P868" s="93"/>
      <c r="Q868" s="38"/>
      <c r="R868" s="38"/>
      <c r="S868" s="38"/>
      <c r="T868" s="38"/>
      <c r="U868" s="38"/>
      <c r="V868" s="38"/>
    </row>
    <row r="869">
      <c r="A869" s="22"/>
      <c r="B869" s="24"/>
      <c r="C869" s="24"/>
      <c r="D869" s="2"/>
      <c r="E869" s="24"/>
      <c r="F869" s="26"/>
      <c r="G869" s="24"/>
      <c r="H869" s="2"/>
      <c r="I869" s="32"/>
      <c r="J869" s="32"/>
      <c r="K869" s="24"/>
      <c r="L869" s="54"/>
      <c r="M869" s="24"/>
      <c r="N869" s="2"/>
      <c r="O869" s="51"/>
      <c r="P869" s="93"/>
      <c r="Q869" s="38"/>
      <c r="R869" s="38"/>
      <c r="S869" s="38"/>
      <c r="T869" s="38"/>
      <c r="U869" s="38"/>
      <c r="V869" s="38"/>
    </row>
    <row r="870">
      <c r="A870" s="22"/>
      <c r="B870" s="24"/>
      <c r="C870" s="24"/>
      <c r="D870" s="2"/>
      <c r="E870" s="24"/>
      <c r="F870" s="26"/>
      <c r="G870" s="24"/>
      <c r="H870" s="2"/>
      <c r="I870" s="32"/>
      <c r="J870" s="32"/>
      <c r="K870" s="24"/>
      <c r="L870" s="54"/>
      <c r="M870" s="24"/>
      <c r="N870" s="2"/>
      <c r="O870" s="51"/>
      <c r="P870" s="93"/>
      <c r="Q870" s="38"/>
      <c r="R870" s="38"/>
      <c r="S870" s="38"/>
      <c r="T870" s="38"/>
      <c r="U870" s="38"/>
      <c r="V870" s="38"/>
    </row>
    <row r="871">
      <c r="A871" s="22"/>
      <c r="B871" s="24"/>
      <c r="C871" s="24"/>
      <c r="D871" s="2"/>
      <c r="E871" s="24"/>
      <c r="F871" s="26"/>
      <c r="G871" s="24"/>
      <c r="H871" s="2"/>
      <c r="I871" s="32"/>
      <c r="J871" s="32"/>
      <c r="K871" s="24"/>
      <c r="L871" s="54"/>
      <c r="M871" s="24"/>
      <c r="N871" s="2"/>
      <c r="O871" s="51"/>
      <c r="P871" s="93"/>
      <c r="Q871" s="38"/>
      <c r="R871" s="38"/>
      <c r="S871" s="38"/>
      <c r="T871" s="38"/>
      <c r="U871" s="38"/>
      <c r="V871" s="38"/>
    </row>
    <row r="872">
      <c r="A872" s="22"/>
      <c r="B872" s="24"/>
      <c r="C872" s="24"/>
      <c r="D872" s="2"/>
      <c r="E872" s="24"/>
      <c r="F872" s="26"/>
      <c r="G872" s="24"/>
      <c r="H872" s="2"/>
      <c r="I872" s="32"/>
      <c r="J872" s="32"/>
      <c r="K872" s="24"/>
      <c r="L872" s="54"/>
      <c r="M872" s="24"/>
      <c r="N872" s="2"/>
      <c r="O872" s="51"/>
      <c r="P872" s="93"/>
      <c r="Q872" s="38"/>
      <c r="R872" s="38"/>
      <c r="S872" s="38"/>
      <c r="T872" s="38"/>
      <c r="U872" s="38"/>
      <c r="V872" s="38"/>
    </row>
    <row r="873">
      <c r="A873" s="22"/>
      <c r="B873" s="24"/>
      <c r="C873" s="24"/>
      <c r="D873" s="2"/>
      <c r="E873" s="24"/>
      <c r="F873" s="26"/>
      <c r="G873" s="24"/>
      <c r="H873" s="2"/>
      <c r="I873" s="32"/>
      <c r="J873" s="32"/>
      <c r="K873" s="24"/>
      <c r="L873" s="54"/>
      <c r="M873" s="24"/>
      <c r="N873" s="2"/>
      <c r="O873" s="51"/>
      <c r="P873" s="93"/>
      <c r="Q873" s="38"/>
      <c r="R873" s="38"/>
      <c r="S873" s="38"/>
      <c r="T873" s="38"/>
      <c r="U873" s="38"/>
      <c r="V873" s="38"/>
    </row>
    <row r="874">
      <c r="A874" s="22"/>
      <c r="B874" s="24"/>
      <c r="C874" s="24"/>
      <c r="D874" s="2"/>
      <c r="E874" s="24"/>
      <c r="F874" s="26"/>
      <c r="G874" s="24"/>
      <c r="H874" s="2"/>
      <c r="I874" s="32"/>
      <c r="J874" s="32"/>
      <c r="K874" s="24"/>
      <c r="L874" s="54"/>
      <c r="M874" s="24"/>
      <c r="N874" s="2"/>
      <c r="O874" s="51"/>
      <c r="P874" s="93"/>
      <c r="Q874" s="38"/>
      <c r="R874" s="38"/>
      <c r="S874" s="38"/>
      <c r="T874" s="38"/>
      <c r="U874" s="38"/>
      <c r="V874" s="38"/>
    </row>
    <row r="875">
      <c r="A875" s="22"/>
      <c r="B875" s="24"/>
      <c r="C875" s="24"/>
      <c r="D875" s="2"/>
      <c r="E875" s="24"/>
      <c r="F875" s="26"/>
      <c r="G875" s="24"/>
      <c r="H875" s="2"/>
      <c r="I875" s="32"/>
      <c r="J875" s="32"/>
      <c r="K875" s="24"/>
      <c r="L875" s="54"/>
      <c r="M875" s="24"/>
      <c r="N875" s="2"/>
      <c r="O875" s="51"/>
      <c r="P875" s="93"/>
      <c r="Q875" s="38"/>
      <c r="R875" s="38"/>
      <c r="S875" s="38"/>
      <c r="T875" s="38"/>
      <c r="U875" s="38"/>
      <c r="V875" s="38"/>
    </row>
    <row r="876">
      <c r="A876" s="22"/>
      <c r="B876" s="24"/>
      <c r="C876" s="24"/>
      <c r="D876" s="2"/>
      <c r="E876" s="24"/>
      <c r="F876" s="26"/>
      <c r="G876" s="24"/>
      <c r="H876" s="2"/>
      <c r="I876" s="32"/>
      <c r="J876" s="32"/>
      <c r="K876" s="24"/>
      <c r="L876" s="54"/>
      <c r="M876" s="24"/>
      <c r="N876" s="2"/>
      <c r="O876" s="51"/>
      <c r="P876" s="93"/>
      <c r="Q876" s="38"/>
      <c r="R876" s="38"/>
      <c r="S876" s="38"/>
      <c r="T876" s="38"/>
      <c r="U876" s="38"/>
      <c r="V876" s="38"/>
    </row>
    <row r="877">
      <c r="A877" s="22"/>
      <c r="B877" s="24"/>
      <c r="C877" s="24"/>
      <c r="D877" s="2"/>
      <c r="E877" s="24"/>
      <c r="F877" s="26"/>
      <c r="G877" s="24"/>
      <c r="H877" s="2"/>
      <c r="I877" s="32"/>
      <c r="J877" s="32"/>
      <c r="K877" s="24"/>
      <c r="L877" s="54"/>
      <c r="M877" s="24"/>
      <c r="N877" s="2"/>
      <c r="O877" s="51"/>
      <c r="P877" s="93"/>
      <c r="Q877" s="38"/>
      <c r="R877" s="38"/>
      <c r="S877" s="38"/>
      <c r="T877" s="38"/>
      <c r="U877" s="38"/>
      <c r="V877" s="38"/>
    </row>
    <row r="878">
      <c r="A878" s="22"/>
      <c r="B878" s="24"/>
      <c r="C878" s="24"/>
      <c r="D878" s="2"/>
      <c r="E878" s="24"/>
      <c r="F878" s="26"/>
      <c r="G878" s="24"/>
      <c r="H878" s="2"/>
      <c r="I878" s="32"/>
      <c r="J878" s="32"/>
      <c r="K878" s="24"/>
      <c r="L878" s="54"/>
      <c r="M878" s="24"/>
      <c r="N878" s="2"/>
      <c r="O878" s="51"/>
      <c r="P878" s="93"/>
      <c r="Q878" s="38"/>
      <c r="R878" s="38"/>
      <c r="S878" s="38"/>
      <c r="T878" s="38"/>
      <c r="U878" s="38"/>
      <c r="V878" s="38"/>
    </row>
    <row r="879">
      <c r="A879" s="22"/>
      <c r="B879" s="24"/>
      <c r="C879" s="24"/>
      <c r="D879" s="2"/>
      <c r="E879" s="24"/>
      <c r="F879" s="26"/>
      <c r="G879" s="24"/>
      <c r="H879" s="2"/>
      <c r="I879" s="32"/>
      <c r="J879" s="32"/>
      <c r="K879" s="24"/>
      <c r="L879" s="54"/>
      <c r="M879" s="24"/>
      <c r="N879" s="2"/>
      <c r="O879" s="51"/>
      <c r="P879" s="93"/>
      <c r="Q879" s="38"/>
      <c r="R879" s="38"/>
      <c r="S879" s="38"/>
      <c r="T879" s="38"/>
      <c r="U879" s="38"/>
      <c r="V879" s="38"/>
    </row>
    <row r="880">
      <c r="A880" s="22"/>
      <c r="B880" s="24"/>
      <c r="C880" s="24"/>
      <c r="D880" s="2"/>
      <c r="E880" s="24"/>
      <c r="F880" s="26"/>
      <c r="G880" s="24"/>
      <c r="H880" s="2"/>
      <c r="I880" s="32"/>
      <c r="J880" s="32"/>
      <c r="K880" s="24"/>
      <c r="L880" s="54"/>
      <c r="M880" s="24"/>
      <c r="N880" s="2"/>
      <c r="O880" s="51"/>
      <c r="P880" s="93"/>
      <c r="Q880" s="38"/>
      <c r="R880" s="38"/>
      <c r="S880" s="38"/>
      <c r="T880" s="38"/>
      <c r="U880" s="38"/>
      <c r="V880" s="38"/>
    </row>
    <row r="881">
      <c r="A881" s="22"/>
      <c r="B881" s="24"/>
      <c r="C881" s="24"/>
      <c r="D881" s="2"/>
      <c r="E881" s="24"/>
      <c r="F881" s="26"/>
      <c r="G881" s="24"/>
      <c r="H881" s="2"/>
      <c r="I881" s="32"/>
      <c r="J881" s="32"/>
      <c r="K881" s="24"/>
      <c r="L881" s="54"/>
      <c r="M881" s="24"/>
      <c r="N881" s="2"/>
      <c r="O881" s="51"/>
      <c r="P881" s="93"/>
      <c r="Q881" s="38"/>
      <c r="R881" s="38"/>
      <c r="S881" s="38"/>
      <c r="T881" s="38"/>
      <c r="U881" s="38"/>
      <c r="V881" s="38"/>
    </row>
    <row r="882">
      <c r="A882" s="22"/>
      <c r="B882" s="24"/>
      <c r="C882" s="24"/>
      <c r="D882" s="2"/>
      <c r="E882" s="24"/>
      <c r="F882" s="26"/>
      <c r="G882" s="24"/>
      <c r="H882" s="2"/>
      <c r="I882" s="32"/>
      <c r="J882" s="32"/>
      <c r="K882" s="24"/>
      <c r="L882" s="54"/>
      <c r="M882" s="24"/>
      <c r="N882" s="2"/>
      <c r="O882" s="51"/>
      <c r="P882" s="93"/>
      <c r="Q882" s="38"/>
      <c r="R882" s="38"/>
      <c r="S882" s="38"/>
      <c r="T882" s="38"/>
      <c r="U882" s="38"/>
      <c r="V882" s="38"/>
    </row>
    <row r="883">
      <c r="A883" s="22"/>
      <c r="B883" s="24"/>
      <c r="C883" s="24"/>
      <c r="D883" s="2"/>
      <c r="E883" s="24"/>
      <c r="F883" s="26"/>
      <c r="G883" s="24"/>
      <c r="H883" s="2"/>
      <c r="I883" s="32"/>
      <c r="J883" s="32"/>
      <c r="K883" s="24"/>
      <c r="L883" s="54"/>
      <c r="M883" s="24"/>
      <c r="N883" s="2"/>
      <c r="O883" s="51"/>
      <c r="P883" s="93"/>
      <c r="Q883" s="38"/>
      <c r="R883" s="38"/>
      <c r="S883" s="38"/>
      <c r="T883" s="38"/>
      <c r="U883" s="38"/>
      <c r="V883" s="38"/>
    </row>
    <row r="884">
      <c r="A884" s="22"/>
      <c r="B884" s="24"/>
      <c r="C884" s="24"/>
      <c r="D884" s="2"/>
      <c r="E884" s="24"/>
      <c r="F884" s="26"/>
      <c r="G884" s="24"/>
      <c r="H884" s="2"/>
      <c r="I884" s="32"/>
      <c r="J884" s="32"/>
      <c r="K884" s="24"/>
      <c r="L884" s="54"/>
      <c r="M884" s="24"/>
      <c r="N884" s="2"/>
      <c r="O884" s="51"/>
      <c r="P884" s="93"/>
      <c r="Q884" s="38"/>
      <c r="R884" s="38"/>
      <c r="S884" s="38"/>
      <c r="T884" s="38"/>
      <c r="U884" s="38"/>
      <c r="V884" s="38"/>
    </row>
    <row r="885">
      <c r="A885" s="22"/>
      <c r="B885" s="24"/>
      <c r="C885" s="24"/>
      <c r="D885" s="2"/>
      <c r="E885" s="24"/>
      <c r="F885" s="26"/>
      <c r="G885" s="24"/>
      <c r="H885" s="2"/>
      <c r="I885" s="32"/>
      <c r="J885" s="32"/>
      <c r="K885" s="24"/>
      <c r="L885" s="54"/>
      <c r="M885" s="24"/>
      <c r="N885" s="2"/>
      <c r="O885" s="51"/>
      <c r="P885" s="93"/>
      <c r="Q885" s="38"/>
      <c r="R885" s="38"/>
      <c r="S885" s="38"/>
      <c r="T885" s="38"/>
      <c r="U885" s="38"/>
      <c r="V885" s="38"/>
    </row>
    <row r="886">
      <c r="A886" s="22"/>
      <c r="B886" s="24"/>
      <c r="C886" s="24"/>
      <c r="D886" s="2"/>
      <c r="E886" s="24"/>
      <c r="F886" s="26"/>
      <c r="G886" s="24"/>
      <c r="H886" s="2"/>
      <c r="I886" s="32"/>
      <c r="J886" s="32"/>
      <c r="K886" s="24"/>
      <c r="L886" s="54"/>
      <c r="M886" s="24"/>
      <c r="N886" s="2"/>
      <c r="O886" s="51"/>
      <c r="P886" s="93"/>
      <c r="Q886" s="38"/>
      <c r="R886" s="38"/>
      <c r="S886" s="38"/>
      <c r="T886" s="38"/>
      <c r="U886" s="38"/>
      <c r="V886" s="38"/>
    </row>
    <row r="887">
      <c r="A887" s="22"/>
      <c r="B887" s="24"/>
      <c r="C887" s="24"/>
      <c r="D887" s="2"/>
      <c r="E887" s="24"/>
      <c r="F887" s="26"/>
      <c r="G887" s="24"/>
      <c r="H887" s="2"/>
      <c r="I887" s="32"/>
      <c r="J887" s="32"/>
      <c r="K887" s="24"/>
      <c r="L887" s="54"/>
      <c r="M887" s="24"/>
      <c r="N887" s="2"/>
      <c r="O887" s="51"/>
      <c r="P887" s="93"/>
      <c r="Q887" s="38"/>
      <c r="R887" s="38"/>
      <c r="S887" s="38"/>
      <c r="T887" s="38"/>
      <c r="U887" s="38"/>
      <c r="V887" s="38"/>
    </row>
    <row r="888">
      <c r="A888" s="22"/>
      <c r="B888" s="24"/>
      <c r="C888" s="24"/>
      <c r="D888" s="2"/>
      <c r="E888" s="24"/>
      <c r="F888" s="26"/>
      <c r="G888" s="24"/>
      <c r="H888" s="2"/>
      <c r="I888" s="32"/>
      <c r="J888" s="32"/>
      <c r="K888" s="24"/>
      <c r="L888" s="54"/>
      <c r="M888" s="24"/>
      <c r="N888" s="2"/>
      <c r="O888" s="51"/>
      <c r="P888" s="93"/>
      <c r="Q888" s="38"/>
      <c r="R888" s="38"/>
      <c r="S888" s="38"/>
      <c r="T888" s="38"/>
      <c r="U888" s="38"/>
      <c r="V888" s="38"/>
    </row>
    <row r="889">
      <c r="A889" s="22"/>
      <c r="B889" s="24"/>
      <c r="C889" s="24"/>
      <c r="D889" s="2"/>
      <c r="E889" s="24"/>
      <c r="F889" s="26"/>
      <c r="G889" s="24"/>
      <c r="H889" s="2"/>
      <c r="I889" s="32"/>
      <c r="J889" s="32"/>
      <c r="K889" s="24"/>
      <c r="L889" s="54"/>
      <c r="M889" s="24"/>
      <c r="N889" s="2"/>
      <c r="O889" s="51"/>
      <c r="P889" s="93"/>
      <c r="Q889" s="38"/>
      <c r="R889" s="38"/>
      <c r="S889" s="38"/>
      <c r="T889" s="38"/>
      <c r="U889" s="38"/>
      <c r="V889" s="38"/>
    </row>
    <row r="890">
      <c r="A890" s="22"/>
      <c r="B890" s="24"/>
      <c r="C890" s="24"/>
      <c r="D890" s="2"/>
      <c r="E890" s="24"/>
      <c r="F890" s="26"/>
      <c r="G890" s="24"/>
      <c r="H890" s="2"/>
      <c r="I890" s="32"/>
      <c r="J890" s="32"/>
      <c r="K890" s="24"/>
      <c r="L890" s="54"/>
      <c r="M890" s="24"/>
      <c r="N890" s="2"/>
      <c r="O890" s="51"/>
      <c r="P890" s="93"/>
      <c r="Q890" s="38"/>
      <c r="R890" s="38"/>
      <c r="S890" s="38"/>
      <c r="T890" s="38"/>
      <c r="U890" s="38"/>
      <c r="V890" s="38"/>
    </row>
    <row r="891">
      <c r="A891" s="22"/>
      <c r="B891" s="24"/>
      <c r="C891" s="24"/>
      <c r="D891" s="2"/>
      <c r="E891" s="24"/>
      <c r="F891" s="26"/>
      <c r="G891" s="24"/>
      <c r="H891" s="2"/>
      <c r="I891" s="32"/>
      <c r="J891" s="32"/>
      <c r="K891" s="24"/>
      <c r="L891" s="54"/>
      <c r="M891" s="24"/>
      <c r="N891" s="2"/>
      <c r="O891" s="51"/>
      <c r="P891" s="93"/>
      <c r="Q891" s="38"/>
      <c r="R891" s="38"/>
      <c r="S891" s="38"/>
      <c r="T891" s="38"/>
      <c r="U891" s="38"/>
      <c r="V891" s="38"/>
    </row>
    <row r="892">
      <c r="A892" s="22"/>
      <c r="B892" s="24"/>
      <c r="C892" s="24"/>
      <c r="D892" s="2"/>
      <c r="E892" s="24"/>
      <c r="F892" s="26"/>
      <c r="G892" s="24"/>
      <c r="H892" s="2"/>
      <c r="I892" s="32"/>
      <c r="J892" s="32"/>
      <c r="K892" s="24"/>
      <c r="L892" s="54"/>
      <c r="M892" s="24"/>
      <c r="N892" s="2"/>
      <c r="O892" s="51"/>
      <c r="P892" s="93"/>
      <c r="Q892" s="38"/>
      <c r="R892" s="38"/>
      <c r="S892" s="38"/>
      <c r="T892" s="38"/>
      <c r="U892" s="38"/>
      <c r="V892" s="38"/>
    </row>
    <row r="893">
      <c r="A893" s="22"/>
      <c r="B893" s="24"/>
      <c r="C893" s="24"/>
      <c r="D893" s="2"/>
      <c r="E893" s="24"/>
      <c r="F893" s="26"/>
      <c r="G893" s="24"/>
      <c r="H893" s="2"/>
      <c r="I893" s="32"/>
      <c r="J893" s="32"/>
      <c r="K893" s="24"/>
      <c r="L893" s="54"/>
      <c r="M893" s="24"/>
      <c r="N893" s="2"/>
      <c r="O893" s="51"/>
      <c r="P893" s="93"/>
      <c r="Q893" s="38"/>
      <c r="R893" s="38"/>
      <c r="S893" s="38"/>
      <c r="T893" s="38"/>
      <c r="U893" s="38"/>
      <c r="V893" s="38"/>
    </row>
    <row r="894">
      <c r="A894" s="22"/>
      <c r="B894" s="24"/>
      <c r="C894" s="24"/>
      <c r="D894" s="2"/>
      <c r="E894" s="24"/>
      <c r="F894" s="26"/>
      <c r="G894" s="24"/>
      <c r="H894" s="2"/>
      <c r="I894" s="32"/>
      <c r="J894" s="32"/>
      <c r="K894" s="24"/>
      <c r="L894" s="54"/>
      <c r="M894" s="24"/>
      <c r="N894" s="2"/>
      <c r="O894" s="51"/>
      <c r="P894" s="93"/>
      <c r="Q894" s="38"/>
      <c r="R894" s="38"/>
      <c r="S894" s="38"/>
      <c r="T894" s="38"/>
      <c r="U894" s="38"/>
      <c r="V894" s="38"/>
    </row>
    <row r="895">
      <c r="A895" s="22"/>
      <c r="B895" s="24"/>
      <c r="C895" s="24"/>
      <c r="D895" s="2"/>
      <c r="E895" s="24"/>
      <c r="F895" s="26"/>
      <c r="G895" s="24"/>
      <c r="H895" s="2"/>
      <c r="I895" s="32"/>
      <c r="J895" s="32"/>
      <c r="K895" s="24"/>
      <c r="L895" s="54"/>
      <c r="M895" s="24"/>
      <c r="N895" s="2"/>
      <c r="O895" s="51"/>
      <c r="P895" s="93"/>
      <c r="Q895" s="38"/>
      <c r="R895" s="38"/>
      <c r="S895" s="38"/>
      <c r="T895" s="38"/>
      <c r="U895" s="38"/>
      <c r="V895" s="38"/>
    </row>
    <row r="896">
      <c r="A896" s="22"/>
      <c r="B896" s="24"/>
      <c r="C896" s="24"/>
      <c r="D896" s="2"/>
      <c r="E896" s="24"/>
      <c r="F896" s="26"/>
      <c r="G896" s="24"/>
      <c r="H896" s="2"/>
      <c r="I896" s="32"/>
      <c r="J896" s="32"/>
      <c r="K896" s="24"/>
      <c r="L896" s="54"/>
      <c r="M896" s="24"/>
      <c r="N896" s="2"/>
      <c r="O896" s="51"/>
      <c r="P896" s="93"/>
      <c r="Q896" s="38"/>
      <c r="R896" s="38"/>
      <c r="S896" s="38"/>
      <c r="T896" s="38"/>
      <c r="U896" s="38"/>
      <c r="V896" s="38"/>
    </row>
    <row r="897">
      <c r="A897" s="22"/>
      <c r="B897" s="24"/>
      <c r="C897" s="24"/>
      <c r="D897" s="2"/>
      <c r="E897" s="24"/>
      <c r="F897" s="26"/>
      <c r="G897" s="24"/>
      <c r="H897" s="2"/>
      <c r="I897" s="32"/>
      <c r="J897" s="32"/>
      <c r="K897" s="24"/>
      <c r="L897" s="54"/>
      <c r="M897" s="24"/>
      <c r="N897" s="2"/>
      <c r="O897" s="51"/>
      <c r="P897" s="93"/>
      <c r="Q897" s="38"/>
      <c r="R897" s="38"/>
      <c r="S897" s="38"/>
      <c r="T897" s="38"/>
      <c r="U897" s="38"/>
      <c r="V897" s="38"/>
    </row>
    <row r="898">
      <c r="A898" s="22"/>
      <c r="B898" s="24"/>
      <c r="C898" s="24"/>
      <c r="D898" s="2"/>
      <c r="E898" s="24"/>
      <c r="F898" s="26"/>
      <c r="G898" s="24"/>
      <c r="H898" s="2"/>
      <c r="I898" s="32"/>
      <c r="J898" s="32"/>
      <c r="K898" s="24"/>
      <c r="L898" s="54"/>
      <c r="M898" s="24"/>
      <c r="N898" s="2"/>
      <c r="O898" s="51"/>
      <c r="P898" s="93"/>
      <c r="Q898" s="38"/>
      <c r="R898" s="38"/>
      <c r="S898" s="38"/>
      <c r="T898" s="38"/>
      <c r="U898" s="38"/>
      <c r="V898" s="38"/>
    </row>
    <row r="899">
      <c r="A899" s="22"/>
      <c r="B899" s="24"/>
      <c r="C899" s="24"/>
      <c r="D899" s="2"/>
      <c r="E899" s="24"/>
      <c r="F899" s="26"/>
      <c r="G899" s="24"/>
      <c r="H899" s="2"/>
      <c r="I899" s="32"/>
      <c r="J899" s="32"/>
      <c r="K899" s="24"/>
      <c r="L899" s="54"/>
      <c r="M899" s="24"/>
      <c r="N899" s="2"/>
      <c r="O899" s="51"/>
      <c r="P899" s="93"/>
      <c r="Q899" s="38"/>
      <c r="R899" s="38"/>
      <c r="S899" s="38"/>
      <c r="T899" s="38"/>
      <c r="U899" s="38"/>
      <c r="V899" s="38"/>
    </row>
    <row r="900">
      <c r="A900" s="22"/>
      <c r="B900" s="24"/>
      <c r="C900" s="24"/>
      <c r="D900" s="2"/>
      <c r="E900" s="24"/>
      <c r="F900" s="26"/>
      <c r="G900" s="24"/>
      <c r="H900" s="2"/>
      <c r="I900" s="32"/>
      <c r="J900" s="32"/>
      <c r="K900" s="24"/>
      <c r="L900" s="54"/>
      <c r="M900" s="24"/>
      <c r="N900" s="2"/>
      <c r="O900" s="51"/>
      <c r="P900" s="93"/>
      <c r="Q900" s="38"/>
      <c r="R900" s="38"/>
      <c r="S900" s="38"/>
      <c r="T900" s="38"/>
      <c r="U900" s="38"/>
      <c r="V900" s="38"/>
    </row>
    <row r="901">
      <c r="A901" s="22"/>
      <c r="B901" s="24"/>
      <c r="C901" s="24"/>
      <c r="D901" s="2"/>
      <c r="E901" s="24"/>
      <c r="F901" s="26"/>
      <c r="G901" s="24"/>
      <c r="H901" s="2"/>
      <c r="I901" s="32"/>
      <c r="J901" s="32"/>
      <c r="K901" s="24"/>
      <c r="L901" s="54"/>
      <c r="M901" s="24"/>
      <c r="N901" s="2"/>
      <c r="O901" s="51"/>
      <c r="P901" s="93"/>
      <c r="Q901" s="38"/>
      <c r="R901" s="38"/>
      <c r="S901" s="38"/>
      <c r="T901" s="38"/>
      <c r="U901" s="38"/>
      <c r="V901" s="38"/>
    </row>
    <row r="902">
      <c r="A902" s="22"/>
      <c r="B902" s="24"/>
      <c r="C902" s="24"/>
      <c r="D902" s="2"/>
      <c r="E902" s="24"/>
      <c r="F902" s="26"/>
      <c r="G902" s="24"/>
      <c r="H902" s="2"/>
      <c r="I902" s="32"/>
      <c r="J902" s="32"/>
      <c r="K902" s="24"/>
      <c r="L902" s="54"/>
      <c r="M902" s="24"/>
      <c r="N902" s="2"/>
      <c r="O902" s="51"/>
      <c r="P902" s="93"/>
      <c r="Q902" s="38"/>
      <c r="R902" s="38"/>
      <c r="S902" s="38"/>
      <c r="T902" s="38"/>
      <c r="U902" s="38"/>
      <c r="V902" s="38"/>
    </row>
    <row r="903">
      <c r="A903" s="22"/>
      <c r="B903" s="24"/>
      <c r="C903" s="24"/>
      <c r="D903" s="2"/>
      <c r="E903" s="24"/>
      <c r="F903" s="26"/>
      <c r="G903" s="24"/>
      <c r="H903" s="2"/>
      <c r="I903" s="32"/>
      <c r="J903" s="32"/>
      <c r="K903" s="24"/>
      <c r="L903" s="54"/>
      <c r="M903" s="24"/>
      <c r="N903" s="2"/>
      <c r="O903" s="51"/>
      <c r="P903" s="93"/>
      <c r="Q903" s="38"/>
      <c r="R903" s="38"/>
      <c r="S903" s="38"/>
      <c r="T903" s="38"/>
      <c r="U903" s="38"/>
      <c r="V903" s="38"/>
    </row>
    <row r="904">
      <c r="A904" s="22"/>
      <c r="B904" s="24"/>
      <c r="C904" s="24"/>
      <c r="D904" s="2"/>
      <c r="E904" s="24"/>
      <c r="F904" s="26"/>
      <c r="G904" s="24"/>
      <c r="H904" s="2"/>
      <c r="I904" s="32"/>
      <c r="J904" s="32"/>
      <c r="K904" s="24"/>
      <c r="L904" s="54"/>
      <c r="M904" s="24"/>
      <c r="N904" s="2"/>
      <c r="O904" s="51"/>
      <c r="P904" s="93"/>
      <c r="Q904" s="38"/>
      <c r="R904" s="38"/>
      <c r="S904" s="38"/>
      <c r="T904" s="38"/>
      <c r="U904" s="38"/>
      <c r="V904" s="38"/>
    </row>
    <row r="905">
      <c r="A905" s="22"/>
      <c r="B905" s="24"/>
      <c r="C905" s="24"/>
      <c r="D905" s="2"/>
      <c r="E905" s="24"/>
      <c r="F905" s="26"/>
      <c r="G905" s="24"/>
      <c r="H905" s="2"/>
      <c r="I905" s="32"/>
      <c r="J905" s="32"/>
      <c r="K905" s="24"/>
      <c r="L905" s="54"/>
      <c r="M905" s="24"/>
      <c r="N905" s="2"/>
      <c r="O905" s="51"/>
      <c r="P905" s="93"/>
      <c r="Q905" s="38"/>
      <c r="R905" s="38"/>
      <c r="S905" s="38"/>
      <c r="T905" s="38"/>
      <c r="U905" s="38"/>
      <c r="V905" s="38"/>
    </row>
    <row r="906">
      <c r="A906" s="22"/>
      <c r="B906" s="24"/>
      <c r="C906" s="24"/>
      <c r="D906" s="2"/>
      <c r="E906" s="24"/>
      <c r="F906" s="26"/>
      <c r="G906" s="24"/>
      <c r="H906" s="2"/>
      <c r="I906" s="32"/>
      <c r="J906" s="32"/>
      <c r="K906" s="24"/>
      <c r="L906" s="54"/>
      <c r="M906" s="24"/>
      <c r="N906" s="2"/>
      <c r="O906" s="51"/>
      <c r="P906" s="93"/>
      <c r="Q906" s="38"/>
      <c r="R906" s="38"/>
      <c r="S906" s="38"/>
      <c r="T906" s="38"/>
      <c r="U906" s="38"/>
      <c r="V906" s="38"/>
    </row>
    <row r="907">
      <c r="A907" s="22"/>
      <c r="B907" s="24"/>
      <c r="C907" s="24"/>
      <c r="D907" s="2"/>
      <c r="E907" s="24"/>
      <c r="F907" s="26"/>
      <c r="G907" s="24"/>
      <c r="H907" s="2"/>
      <c r="I907" s="32"/>
      <c r="J907" s="32"/>
      <c r="K907" s="24"/>
      <c r="L907" s="54"/>
      <c r="M907" s="24"/>
      <c r="N907" s="2"/>
      <c r="O907" s="51"/>
      <c r="P907" s="93"/>
      <c r="Q907" s="38"/>
      <c r="R907" s="38"/>
      <c r="S907" s="38"/>
      <c r="T907" s="38"/>
      <c r="U907" s="38"/>
      <c r="V907" s="38"/>
    </row>
    <row r="908">
      <c r="A908" s="22"/>
      <c r="B908" s="24"/>
      <c r="C908" s="24"/>
      <c r="D908" s="2"/>
      <c r="E908" s="24"/>
      <c r="F908" s="26"/>
      <c r="G908" s="24"/>
      <c r="H908" s="2"/>
      <c r="I908" s="32"/>
      <c r="J908" s="32"/>
      <c r="K908" s="24"/>
      <c r="L908" s="54"/>
      <c r="M908" s="24"/>
      <c r="N908" s="2"/>
      <c r="O908" s="51"/>
      <c r="P908" s="93"/>
      <c r="Q908" s="38"/>
      <c r="R908" s="38"/>
      <c r="S908" s="38"/>
      <c r="T908" s="38"/>
      <c r="U908" s="38"/>
      <c r="V908" s="38"/>
    </row>
    <row r="909">
      <c r="A909" s="22"/>
      <c r="B909" s="24"/>
      <c r="C909" s="24"/>
      <c r="D909" s="2"/>
      <c r="E909" s="24"/>
      <c r="F909" s="26"/>
      <c r="G909" s="24"/>
      <c r="H909" s="2"/>
      <c r="I909" s="32"/>
      <c r="J909" s="32"/>
      <c r="K909" s="24"/>
      <c r="L909" s="54"/>
      <c r="M909" s="24"/>
      <c r="N909" s="2"/>
      <c r="O909" s="51"/>
      <c r="P909" s="93"/>
      <c r="Q909" s="38"/>
      <c r="R909" s="38"/>
      <c r="S909" s="38"/>
      <c r="T909" s="38"/>
      <c r="U909" s="38"/>
      <c r="V909" s="38"/>
    </row>
    <row r="910">
      <c r="A910" s="22"/>
      <c r="B910" s="24"/>
      <c r="C910" s="24"/>
      <c r="D910" s="2"/>
      <c r="E910" s="24"/>
      <c r="F910" s="26"/>
      <c r="G910" s="24"/>
      <c r="H910" s="2"/>
      <c r="I910" s="32"/>
      <c r="J910" s="32"/>
      <c r="K910" s="24"/>
      <c r="L910" s="54"/>
      <c r="M910" s="24"/>
      <c r="N910" s="2"/>
      <c r="O910" s="51"/>
      <c r="P910" s="93"/>
      <c r="Q910" s="38"/>
      <c r="R910" s="38"/>
      <c r="S910" s="38"/>
      <c r="T910" s="38"/>
      <c r="U910" s="38"/>
      <c r="V910" s="38"/>
    </row>
    <row r="911">
      <c r="A911" s="22"/>
      <c r="B911" s="24"/>
      <c r="C911" s="24"/>
      <c r="D911" s="2"/>
      <c r="E911" s="24"/>
      <c r="F911" s="26"/>
      <c r="G911" s="24"/>
      <c r="H911" s="2"/>
      <c r="I911" s="32"/>
      <c r="J911" s="32"/>
      <c r="K911" s="24"/>
      <c r="L911" s="54"/>
      <c r="M911" s="24"/>
      <c r="N911" s="2"/>
      <c r="O911" s="51"/>
      <c r="P911" s="93"/>
      <c r="Q911" s="38"/>
      <c r="R911" s="38"/>
      <c r="S911" s="38"/>
      <c r="T911" s="38"/>
      <c r="U911" s="38"/>
      <c r="V911" s="38"/>
    </row>
    <row r="912">
      <c r="A912" s="22"/>
      <c r="B912" s="24"/>
      <c r="C912" s="24"/>
      <c r="D912" s="2"/>
      <c r="E912" s="24"/>
      <c r="F912" s="26"/>
      <c r="G912" s="24"/>
      <c r="H912" s="2"/>
      <c r="I912" s="32"/>
      <c r="J912" s="32"/>
      <c r="K912" s="24"/>
      <c r="L912" s="54"/>
      <c r="M912" s="24"/>
      <c r="N912" s="2"/>
      <c r="O912" s="51"/>
      <c r="P912" s="93"/>
      <c r="Q912" s="38"/>
      <c r="R912" s="38"/>
      <c r="S912" s="38"/>
      <c r="T912" s="38"/>
      <c r="U912" s="38"/>
      <c r="V912" s="38"/>
    </row>
    <row r="913">
      <c r="A913" s="22"/>
      <c r="B913" s="24"/>
      <c r="C913" s="24"/>
      <c r="D913" s="2"/>
      <c r="E913" s="24"/>
      <c r="F913" s="26"/>
      <c r="G913" s="24"/>
      <c r="H913" s="2"/>
      <c r="I913" s="32"/>
      <c r="J913" s="32"/>
      <c r="K913" s="24"/>
      <c r="L913" s="54"/>
      <c r="M913" s="24"/>
      <c r="N913" s="2"/>
      <c r="O913" s="51"/>
      <c r="P913" s="93"/>
      <c r="Q913" s="38"/>
      <c r="R913" s="38"/>
      <c r="S913" s="38"/>
      <c r="T913" s="38"/>
      <c r="U913" s="38"/>
      <c r="V913" s="38"/>
    </row>
    <row r="914">
      <c r="A914" s="22"/>
      <c r="B914" s="24"/>
      <c r="C914" s="24"/>
      <c r="D914" s="2"/>
      <c r="E914" s="24"/>
      <c r="F914" s="26"/>
      <c r="G914" s="24"/>
      <c r="H914" s="2"/>
      <c r="I914" s="32"/>
      <c r="J914" s="32"/>
      <c r="K914" s="24"/>
      <c r="L914" s="54"/>
      <c r="M914" s="24"/>
      <c r="N914" s="2"/>
      <c r="O914" s="51"/>
      <c r="P914" s="93"/>
      <c r="Q914" s="38"/>
      <c r="R914" s="38"/>
      <c r="S914" s="38"/>
      <c r="T914" s="38"/>
      <c r="U914" s="38"/>
      <c r="V914" s="38"/>
    </row>
    <row r="915">
      <c r="A915" s="22"/>
      <c r="B915" s="24"/>
      <c r="C915" s="24"/>
      <c r="D915" s="2"/>
      <c r="E915" s="24"/>
      <c r="F915" s="26"/>
      <c r="G915" s="24"/>
      <c r="H915" s="2"/>
      <c r="I915" s="32"/>
      <c r="J915" s="32"/>
      <c r="K915" s="24"/>
      <c r="L915" s="54"/>
      <c r="M915" s="24"/>
      <c r="N915" s="2"/>
      <c r="O915" s="51"/>
      <c r="P915" s="93"/>
      <c r="Q915" s="38"/>
      <c r="R915" s="38"/>
      <c r="S915" s="38"/>
      <c r="T915" s="38"/>
      <c r="U915" s="38"/>
      <c r="V915" s="38"/>
    </row>
    <row r="916">
      <c r="A916" s="22"/>
      <c r="B916" s="24"/>
      <c r="C916" s="24"/>
      <c r="D916" s="2"/>
      <c r="E916" s="24"/>
      <c r="F916" s="26"/>
      <c r="G916" s="24"/>
      <c r="H916" s="2"/>
      <c r="I916" s="32"/>
      <c r="J916" s="32"/>
      <c r="K916" s="24"/>
      <c r="L916" s="54"/>
      <c r="M916" s="24"/>
      <c r="N916" s="2"/>
      <c r="O916" s="51"/>
      <c r="P916" s="93"/>
      <c r="Q916" s="38"/>
      <c r="R916" s="38"/>
      <c r="S916" s="38"/>
      <c r="T916" s="38"/>
      <c r="U916" s="38"/>
      <c r="V916" s="38"/>
    </row>
    <row r="917">
      <c r="A917" s="22"/>
      <c r="B917" s="24"/>
      <c r="C917" s="24"/>
      <c r="D917" s="2"/>
      <c r="E917" s="24"/>
      <c r="F917" s="26"/>
      <c r="G917" s="24"/>
      <c r="H917" s="2"/>
      <c r="I917" s="32"/>
      <c r="J917" s="32"/>
      <c r="K917" s="24"/>
      <c r="L917" s="54"/>
      <c r="M917" s="24"/>
      <c r="N917" s="2"/>
      <c r="O917" s="51"/>
      <c r="P917" s="93"/>
      <c r="Q917" s="38"/>
      <c r="R917" s="38"/>
      <c r="S917" s="38"/>
      <c r="T917" s="38"/>
      <c r="U917" s="38"/>
      <c r="V917" s="38"/>
    </row>
    <row r="918">
      <c r="A918" s="22"/>
      <c r="B918" s="24"/>
      <c r="C918" s="24"/>
      <c r="D918" s="2"/>
      <c r="E918" s="24"/>
      <c r="F918" s="26"/>
      <c r="G918" s="24"/>
      <c r="H918" s="2"/>
      <c r="I918" s="32"/>
      <c r="J918" s="32"/>
      <c r="K918" s="24"/>
      <c r="L918" s="54"/>
      <c r="M918" s="24"/>
      <c r="N918" s="2"/>
      <c r="O918" s="51"/>
      <c r="P918" s="93"/>
      <c r="Q918" s="38"/>
      <c r="R918" s="38"/>
      <c r="S918" s="38"/>
      <c r="T918" s="38"/>
      <c r="U918" s="38"/>
      <c r="V918" s="38"/>
    </row>
    <row r="919">
      <c r="A919" s="22"/>
      <c r="B919" s="24"/>
      <c r="C919" s="24"/>
      <c r="D919" s="2"/>
      <c r="E919" s="24"/>
      <c r="F919" s="26"/>
      <c r="G919" s="24"/>
      <c r="H919" s="2"/>
      <c r="I919" s="32"/>
      <c r="J919" s="32"/>
      <c r="K919" s="24"/>
      <c r="L919" s="54"/>
      <c r="M919" s="24"/>
      <c r="N919" s="2"/>
      <c r="O919" s="51"/>
      <c r="P919" s="93"/>
      <c r="Q919" s="38"/>
      <c r="R919" s="38"/>
      <c r="S919" s="38"/>
      <c r="T919" s="38"/>
      <c r="U919" s="38"/>
      <c r="V919" s="38"/>
    </row>
    <row r="920">
      <c r="A920" s="22"/>
      <c r="B920" s="24"/>
      <c r="C920" s="24"/>
      <c r="D920" s="2"/>
      <c r="E920" s="24"/>
      <c r="F920" s="26"/>
      <c r="G920" s="24"/>
      <c r="H920" s="2"/>
      <c r="I920" s="32"/>
      <c r="J920" s="32"/>
      <c r="K920" s="24"/>
      <c r="L920" s="54"/>
      <c r="M920" s="24"/>
      <c r="N920" s="2"/>
      <c r="O920" s="51"/>
      <c r="P920" s="93"/>
      <c r="Q920" s="38"/>
      <c r="R920" s="38"/>
      <c r="S920" s="38"/>
      <c r="T920" s="38"/>
      <c r="U920" s="38"/>
      <c r="V920" s="38"/>
    </row>
    <row r="921">
      <c r="A921" s="22"/>
      <c r="B921" s="24"/>
      <c r="C921" s="24"/>
      <c r="D921" s="2"/>
      <c r="E921" s="24"/>
      <c r="F921" s="26"/>
      <c r="G921" s="24"/>
      <c r="H921" s="2"/>
      <c r="I921" s="32"/>
      <c r="J921" s="32"/>
      <c r="K921" s="24"/>
      <c r="L921" s="54"/>
      <c r="M921" s="24"/>
      <c r="N921" s="2"/>
      <c r="O921" s="51"/>
      <c r="P921" s="93"/>
      <c r="Q921" s="38"/>
      <c r="R921" s="38"/>
      <c r="S921" s="38"/>
      <c r="T921" s="38"/>
      <c r="U921" s="38"/>
      <c r="V921" s="38"/>
    </row>
    <row r="922">
      <c r="A922" s="22"/>
      <c r="B922" s="24"/>
      <c r="C922" s="24"/>
      <c r="D922" s="2"/>
      <c r="E922" s="24"/>
      <c r="F922" s="26"/>
      <c r="G922" s="24"/>
      <c r="H922" s="2"/>
      <c r="I922" s="32"/>
      <c r="J922" s="32"/>
      <c r="K922" s="24"/>
      <c r="L922" s="54"/>
      <c r="M922" s="24"/>
      <c r="N922" s="2"/>
      <c r="O922" s="51"/>
      <c r="P922" s="93"/>
      <c r="Q922" s="38"/>
      <c r="R922" s="38"/>
      <c r="S922" s="38"/>
      <c r="T922" s="38"/>
      <c r="U922" s="38"/>
      <c r="V922" s="38"/>
    </row>
    <row r="923">
      <c r="A923" s="22"/>
      <c r="B923" s="24"/>
      <c r="C923" s="24"/>
      <c r="D923" s="2"/>
      <c r="E923" s="24"/>
      <c r="F923" s="26"/>
      <c r="G923" s="24"/>
      <c r="H923" s="2"/>
      <c r="I923" s="32"/>
      <c r="J923" s="32"/>
      <c r="K923" s="24"/>
      <c r="L923" s="54"/>
      <c r="M923" s="24"/>
      <c r="N923" s="2"/>
      <c r="O923" s="51"/>
      <c r="P923" s="93"/>
      <c r="Q923" s="38"/>
      <c r="R923" s="38"/>
      <c r="S923" s="38"/>
      <c r="T923" s="38"/>
      <c r="U923" s="38"/>
      <c r="V923" s="38"/>
    </row>
    <row r="924">
      <c r="A924" s="22"/>
      <c r="B924" s="24"/>
      <c r="C924" s="24"/>
      <c r="D924" s="2"/>
      <c r="E924" s="24"/>
      <c r="F924" s="26"/>
      <c r="G924" s="24"/>
      <c r="H924" s="2"/>
      <c r="I924" s="32"/>
      <c r="J924" s="32"/>
      <c r="K924" s="24"/>
      <c r="L924" s="54"/>
      <c r="M924" s="24"/>
      <c r="N924" s="2"/>
      <c r="O924" s="51"/>
      <c r="P924" s="93"/>
      <c r="Q924" s="38"/>
      <c r="R924" s="38"/>
      <c r="S924" s="38"/>
      <c r="T924" s="38"/>
      <c r="U924" s="38"/>
      <c r="V924" s="38"/>
    </row>
    <row r="925">
      <c r="A925" s="22"/>
      <c r="B925" s="24"/>
      <c r="C925" s="24"/>
      <c r="D925" s="2"/>
      <c r="E925" s="24"/>
      <c r="F925" s="26"/>
      <c r="G925" s="24"/>
      <c r="H925" s="2"/>
      <c r="I925" s="32"/>
      <c r="J925" s="32"/>
      <c r="K925" s="24"/>
      <c r="L925" s="54"/>
      <c r="M925" s="24"/>
      <c r="N925" s="2"/>
      <c r="O925" s="51"/>
      <c r="P925" s="93"/>
      <c r="Q925" s="38"/>
      <c r="R925" s="38"/>
      <c r="S925" s="38"/>
      <c r="T925" s="38"/>
      <c r="U925" s="38"/>
      <c r="V925" s="38"/>
    </row>
    <row r="926">
      <c r="A926" s="22"/>
      <c r="B926" s="24"/>
      <c r="C926" s="24"/>
      <c r="D926" s="2"/>
      <c r="E926" s="24"/>
      <c r="F926" s="26"/>
      <c r="G926" s="24"/>
      <c r="H926" s="2"/>
      <c r="I926" s="32"/>
      <c r="J926" s="32"/>
      <c r="K926" s="24"/>
      <c r="L926" s="54"/>
      <c r="M926" s="24"/>
      <c r="N926" s="2"/>
      <c r="O926" s="51"/>
      <c r="P926" s="93"/>
      <c r="Q926" s="38"/>
      <c r="R926" s="38"/>
      <c r="S926" s="38"/>
      <c r="T926" s="38"/>
      <c r="U926" s="38"/>
      <c r="V926" s="38"/>
    </row>
    <row r="927">
      <c r="A927" s="22"/>
      <c r="B927" s="24"/>
      <c r="C927" s="24"/>
      <c r="D927" s="2"/>
      <c r="E927" s="24"/>
      <c r="F927" s="26"/>
      <c r="G927" s="24"/>
      <c r="H927" s="2"/>
      <c r="I927" s="32"/>
      <c r="J927" s="32"/>
      <c r="K927" s="24"/>
      <c r="L927" s="54"/>
      <c r="M927" s="24"/>
      <c r="N927" s="2"/>
      <c r="O927" s="51"/>
      <c r="P927" s="93"/>
      <c r="Q927" s="38"/>
      <c r="R927" s="38"/>
      <c r="S927" s="38"/>
      <c r="T927" s="38"/>
      <c r="U927" s="38"/>
      <c r="V927" s="38"/>
    </row>
    <row r="928">
      <c r="A928" s="22"/>
      <c r="B928" s="24"/>
      <c r="C928" s="24"/>
      <c r="D928" s="2"/>
      <c r="E928" s="24"/>
      <c r="F928" s="26"/>
      <c r="G928" s="24"/>
      <c r="H928" s="2"/>
      <c r="I928" s="32"/>
      <c r="J928" s="32"/>
      <c r="K928" s="24"/>
      <c r="L928" s="54"/>
      <c r="M928" s="24"/>
      <c r="N928" s="2"/>
      <c r="O928" s="51"/>
      <c r="P928" s="93"/>
      <c r="Q928" s="38"/>
      <c r="R928" s="38"/>
      <c r="S928" s="38"/>
      <c r="T928" s="38"/>
      <c r="U928" s="38"/>
      <c r="V928" s="38"/>
    </row>
    <row r="929">
      <c r="A929" s="22"/>
      <c r="B929" s="24"/>
      <c r="C929" s="24"/>
      <c r="D929" s="2"/>
      <c r="E929" s="24"/>
      <c r="F929" s="26"/>
      <c r="G929" s="24"/>
      <c r="H929" s="2"/>
      <c r="I929" s="32"/>
      <c r="J929" s="32"/>
      <c r="K929" s="24"/>
      <c r="L929" s="54"/>
      <c r="M929" s="24"/>
      <c r="N929" s="2"/>
      <c r="O929" s="51"/>
      <c r="P929" s="93"/>
      <c r="Q929" s="38"/>
      <c r="R929" s="38"/>
      <c r="S929" s="38"/>
      <c r="T929" s="38"/>
      <c r="U929" s="38"/>
      <c r="V929" s="38"/>
    </row>
    <row r="930">
      <c r="A930" s="22"/>
      <c r="B930" s="24"/>
      <c r="C930" s="24"/>
      <c r="D930" s="2"/>
      <c r="E930" s="24"/>
      <c r="F930" s="26"/>
      <c r="G930" s="24"/>
      <c r="H930" s="2"/>
      <c r="I930" s="32"/>
      <c r="J930" s="32"/>
      <c r="K930" s="24"/>
      <c r="L930" s="54"/>
      <c r="M930" s="24"/>
      <c r="N930" s="2"/>
      <c r="O930" s="51"/>
      <c r="P930" s="93"/>
      <c r="Q930" s="38"/>
      <c r="R930" s="38"/>
      <c r="S930" s="38"/>
      <c r="T930" s="38"/>
      <c r="U930" s="38"/>
      <c r="V930" s="38"/>
    </row>
    <row r="931">
      <c r="A931" s="22"/>
      <c r="B931" s="24"/>
      <c r="C931" s="24"/>
      <c r="D931" s="2"/>
      <c r="E931" s="24"/>
      <c r="F931" s="26"/>
      <c r="G931" s="24"/>
      <c r="H931" s="2"/>
      <c r="I931" s="32"/>
      <c r="J931" s="32"/>
      <c r="K931" s="24"/>
      <c r="L931" s="54"/>
      <c r="M931" s="24"/>
      <c r="N931" s="2"/>
      <c r="O931" s="51"/>
      <c r="P931" s="93"/>
      <c r="Q931" s="38"/>
      <c r="R931" s="38"/>
      <c r="S931" s="38"/>
      <c r="T931" s="38"/>
      <c r="U931" s="38"/>
      <c r="V931" s="38"/>
    </row>
    <row r="932">
      <c r="A932" s="22"/>
      <c r="B932" s="24"/>
      <c r="C932" s="24"/>
      <c r="D932" s="2"/>
      <c r="E932" s="24"/>
      <c r="F932" s="26"/>
      <c r="G932" s="24"/>
      <c r="H932" s="2"/>
      <c r="I932" s="32"/>
      <c r="J932" s="32"/>
      <c r="K932" s="24"/>
      <c r="L932" s="54"/>
      <c r="M932" s="24"/>
      <c r="N932" s="2"/>
      <c r="O932" s="51"/>
      <c r="P932" s="93"/>
      <c r="Q932" s="38"/>
      <c r="R932" s="38"/>
      <c r="S932" s="38"/>
      <c r="T932" s="38"/>
      <c r="U932" s="38"/>
      <c r="V932" s="38"/>
    </row>
    <row r="933">
      <c r="A933" s="22"/>
      <c r="B933" s="24"/>
      <c r="C933" s="24"/>
      <c r="D933" s="2"/>
      <c r="E933" s="24"/>
      <c r="F933" s="26"/>
      <c r="G933" s="24"/>
      <c r="H933" s="2"/>
      <c r="I933" s="32"/>
      <c r="J933" s="32"/>
      <c r="K933" s="24"/>
      <c r="L933" s="54"/>
      <c r="M933" s="24"/>
      <c r="N933" s="2"/>
      <c r="O933" s="51"/>
      <c r="P933" s="93"/>
      <c r="Q933" s="38"/>
      <c r="R933" s="38"/>
      <c r="S933" s="38"/>
      <c r="T933" s="38"/>
      <c r="U933" s="38"/>
      <c r="V933" s="38"/>
    </row>
    <row r="934">
      <c r="A934" s="22"/>
      <c r="B934" s="24"/>
      <c r="C934" s="24"/>
      <c r="D934" s="2"/>
      <c r="E934" s="24"/>
      <c r="F934" s="26"/>
      <c r="G934" s="24"/>
      <c r="H934" s="2"/>
      <c r="I934" s="32"/>
      <c r="J934" s="32"/>
      <c r="K934" s="24"/>
      <c r="L934" s="54"/>
      <c r="M934" s="24"/>
      <c r="N934" s="2"/>
      <c r="O934" s="51"/>
      <c r="P934" s="93"/>
      <c r="Q934" s="38"/>
      <c r="R934" s="38"/>
      <c r="S934" s="38"/>
      <c r="T934" s="38"/>
      <c r="U934" s="38"/>
      <c r="V934" s="38"/>
    </row>
    <row r="935">
      <c r="A935" s="22"/>
      <c r="B935" s="24"/>
      <c r="C935" s="24"/>
      <c r="D935" s="2"/>
      <c r="E935" s="24"/>
      <c r="F935" s="26"/>
      <c r="G935" s="24"/>
      <c r="H935" s="2"/>
      <c r="I935" s="32"/>
      <c r="J935" s="32"/>
      <c r="K935" s="24"/>
      <c r="L935" s="54"/>
      <c r="M935" s="24"/>
      <c r="N935" s="2"/>
      <c r="O935" s="51"/>
      <c r="P935" s="93"/>
      <c r="Q935" s="38"/>
      <c r="R935" s="38"/>
      <c r="S935" s="38"/>
      <c r="T935" s="38"/>
      <c r="U935" s="38"/>
      <c r="V935" s="38"/>
    </row>
    <row r="936">
      <c r="A936" s="22"/>
      <c r="B936" s="24"/>
      <c r="C936" s="24"/>
      <c r="D936" s="2"/>
      <c r="E936" s="24"/>
      <c r="F936" s="26"/>
      <c r="G936" s="24"/>
      <c r="H936" s="2"/>
      <c r="I936" s="32"/>
      <c r="J936" s="32"/>
      <c r="K936" s="24"/>
      <c r="L936" s="54"/>
      <c r="M936" s="24"/>
      <c r="N936" s="2"/>
      <c r="O936" s="51"/>
      <c r="P936" s="93"/>
      <c r="Q936" s="38"/>
      <c r="R936" s="38"/>
      <c r="S936" s="38"/>
      <c r="T936" s="38"/>
      <c r="U936" s="38"/>
      <c r="V936" s="38"/>
    </row>
    <row r="937">
      <c r="A937" s="22"/>
      <c r="B937" s="24"/>
      <c r="C937" s="24"/>
      <c r="D937" s="2"/>
      <c r="E937" s="24"/>
      <c r="F937" s="26"/>
      <c r="G937" s="24"/>
      <c r="H937" s="2"/>
      <c r="I937" s="32"/>
      <c r="J937" s="32"/>
      <c r="K937" s="24"/>
      <c r="L937" s="54"/>
      <c r="M937" s="24"/>
      <c r="N937" s="2"/>
      <c r="O937" s="51"/>
      <c r="P937" s="93"/>
      <c r="Q937" s="38"/>
      <c r="R937" s="38"/>
      <c r="S937" s="38"/>
      <c r="T937" s="38"/>
      <c r="U937" s="38"/>
      <c r="V937" s="38"/>
    </row>
    <row r="938">
      <c r="A938" s="22"/>
      <c r="B938" s="24"/>
      <c r="C938" s="24"/>
      <c r="D938" s="2"/>
      <c r="E938" s="24"/>
      <c r="F938" s="26"/>
      <c r="G938" s="24"/>
      <c r="H938" s="2"/>
      <c r="I938" s="32"/>
      <c r="J938" s="32"/>
      <c r="K938" s="24"/>
      <c r="L938" s="54"/>
      <c r="M938" s="24"/>
      <c r="N938" s="2"/>
      <c r="O938" s="51"/>
      <c r="P938" s="93"/>
      <c r="Q938" s="38"/>
      <c r="R938" s="38"/>
      <c r="S938" s="38"/>
      <c r="T938" s="38"/>
      <c r="U938" s="38"/>
      <c r="V938" s="38"/>
    </row>
    <row r="939">
      <c r="A939" s="22"/>
      <c r="B939" s="24"/>
      <c r="C939" s="24"/>
      <c r="D939" s="2"/>
      <c r="E939" s="24"/>
      <c r="F939" s="26"/>
      <c r="G939" s="24"/>
      <c r="H939" s="2"/>
      <c r="I939" s="32"/>
      <c r="J939" s="32"/>
      <c r="K939" s="24"/>
      <c r="L939" s="54"/>
      <c r="M939" s="24"/>
      <c r="N939" s="2"/>
      <c r="O939" s="51"/>
      <c r="P939" s="93"/>
      <c r="Q939" s="38"/>
      <c r="R939" s="38"/>
      <c r="S939" s="38"/>
      <c r="T939" s="38"/>
      <c r="U939" s="38"/>
      <c r="V939" s="38"/>
    </row>
    <row r="940">
      <c r="A940" s="22"/>
      <c r="B940" s="24"/>
      <c r="C940" s="24"/>
      <c r="D940" s="2"/>
      <c r="E940" s="24"/>
      <c r="F940" s="26"/>
      <c r="G940" s="24"/>
      <c r="H940" s="2"/>
      <c r="I940" s="32"/>
      <c r="J940" s="32"/>
      <c r="K940" s="24"/>
      <c r="L940" s="54"/>
      <c r="M940" s="24"/>
      <c r="N940" s="2"/>
      <c r="O940" s="51"/>
      <c r="P940" s="93"/>
      <c r="Q940" s="38"/>
      <c r="R940" s="38"/>
      <c r="S940" s="38"/>
      <c r="T940" s="38"/>
      <c r="U940" s="38"/>
      <c r="V940" s="38"/>
    </row>
    <row r="941">
      <c r="A941" s="22"/>
      <c r="B941" s="24"/>
      <c r="C941" s="24"/>
      <c r="D941" s="2"/>
      <c r="E941" s="24"/>
      <c r="F941" s="26"/>
      <c r="G941" s="24"/>
      <c r="H941" s="133"/>
      <c r="I941" s="32"/>
      <c r="J941" s="32"/>
      <c r="K941" s="24"/>
      <c r="L941" s="54"/>
      <c r="M941" s="24"/>
      <c r="N941" s="2"/>
      <c r="O941" s="51"/>
      <c r="P941" s="93"/>
      <c r="Q941" s="38"/>
      <c r="R941" s="38"/>
      <c r="S941" s="38"/>
      <c r="T941" s="38"/>
      <c r="U941" s="38"/>
      <c r="V941" s="38"/>
    </row>
    <row r="942">
      <c r="A942" s="22"/>
      <c r="B942" s="24"/>
      <c r="C942" s="24"/>
      <c r="D942" s="2"/>
      <c r="E942" s="24"/>
      <c r="F942" s="26"/>
      <c r="G942" s="24"/>
      <c r="H942" s="2"/>
      <c r="I942" s="32"/>
      <c r="J942" s="32"/>
      <c r="K942" s="24"/>
      <c r="L942" s="54"/>
      <c r="M942" s="24"/>
      <c r="N942" s="2"/>
      <c r="O942" s="51"/>
      <c r="P942" s="93"/>
      <c r="Q942" s="38"/>
      <c r="R942" s="38"/>
      <c r="S942" s="38"/>
      <c r="T942" s="38"/>
      <c r="U942" s="38"/>
      <c r="V942" s="38"/>
    </row>
    <row r="943">
      <c r="A943" s="22"/>
      <c r="B943" s="24"/>
      <c r="C943" s="24"/>
      <c r="D943" s="2"/>
      <c r="E943" s="24"/>
      <c r="F943" s="26"/>
      <c r="G943" s="24"/>
      <c r="H943" s="2"/>
      <c r="I943" s="32"/>
      <c r="J943" s="32"/>
      <c r="K943" s="24"/>
      <c r="L943" s="54"/>
      <c r="M943" s="24"/>
      <c r="N943" s="2"/>
      <c r="O943" s="51"/>
      <c r="P943" s="93"/>
      <c r="Q943" s="38"/>
      <c r="R943" s="38"/>
      <c r="S943" s="38"/>
      <c r="T943" s="38"/>
      <c r="U943" s="38"/>
      <c r="V943" s="38"/>
    </row>
    <row r="944">
      <c r="A944" s="22"/>
      <c r="B944" s="24"/>
      <c r="C944" s="24"/>
      <c r="D944" s="2"/>
      <c r="E944" s="24"/>
      <c r="F944" s="26"/>
      <c r="G944" s="24"/>
      <c r="H944" s="2"/>
      <c r="I944" s="32"/>
      <c r="J944" s="32"/>
      <c r="K944" s="24"/>
      <c r="L944" s="54"/>
      <c r="M944" s="24"/>
      <c r="N944" s="2"/>
      <c r="O944" s="51"/>
      <c r="P944" s="93"/>
      <c r="Q944" s="38"/>
      <c r="R944" s="38"/>
      <c r="S944" s="38"/>
      <c r="T944" s="38"/>
      <c r="U944" s="38"/>
      <c r="V944" s="38"/>
    </row>
    <row r="945">
      <c r="A945" s="22"/>
      <c r="B945" s="24"/>
      <c r="C945" s="24"/>
      <c r="D945" s="2"/>
      <c r="E945" s="24"/>
      <c r="F945" s="26"/>
      <c r="G945" s="24"/>
      <c r="H945" s="2"/>
      <c r="I945" s="32"/>
      <c r="J945" s="32"/>
      <c r="K945" s="24"/>
      <c r="L945" s="54"/>
      <c r="M945" s="24"/>
      <c r="N945" s="2"/>
      <c r="O945" s="51"/>
      <c r="P945" s="93"/>
      <c r="Q945" s="38"/>
      <c r="R945" s="38"/>
      <c r="S945" s="38"/>
      <c r="T945" s="38"/>
      <c r="U945" s="38"/>
      <c r="V945" s="38"/>
    </row>
    <row r="946">
      <c r="A946" s="22"/>
      <c r="B946" s="24"/>
      <c r="C946" s="24"/>
      <c r="D946" s="2"/>
      <c r="E946" s="24"/>
      <c r="F946" s="26"/>
      <c r="G946" s="24"/>
      <c r="H946" s="2"/>
      <c r="I946" s="32"/>
      <c r="J946" s="32"/>
      <c r="K946" s="24"/>
      <c r="L946" s="54"/>
      <c r="M946" s="24"/>
      <c r="N946" s="2"/>
      <c r="O946" s="51"/>
      <c r="P946" s="93"/>
      <c r="Q946" s="38"/>
      <c r="R946" s="38"/>
      <c r="S946" s="38"/>
      <c r="T946" s="38"/>
      <c r="U946" s="38"/>
      <c r="V946" s="38"/>
    </row>
    <row r="947">
      <c r="A947" s="22"/>
      <c r="B947" s="24"/>
      <c r="C947" s="24"/>
      <c r="D947" s="2"/>
      <c r="E947" s="24"/>
      <c r="F947" s="26"/>
      <c r="G947" s="24"/>
      <c r="H947" s="2"/>
      <c r="I947" s="32"/>
      <c r="J947" s="32"/>
      <c r="K947" s="24"/>
      <c r="L947" s="54"/>
      <c r="M947" s="24"/>
      <c r="N947" s="2"/>
      <c r="O947" s="51"/>
      <c r="P947" s="93"/>
      <c r="Q947" s="38"/>
      <c r="R947" s="38"/>
      <c r="S947" s="38"/>
      <c r="T947" s="38"/>
      <c r="U947" s="38"/>
      <c r="V947" s="38"/>
    </row>
    <row r="948">
      <c r="A948" s="22"/>
      <c r="B948" s="24"/>
      <c r="C948" s="24"/>
      <c r="D948" s="2"/>
      <c r="E948" s="24"/>
      <c r="F948" s="26"/>
      <c r="G948" s="24"/>
      <c r="H948" s="2"/>
      <c r="I948" s="32"/>
      <c r="J948" s="32"/>
      <c r="K948" s="24"/>
      <c r="L948" s="54"/>
      <c r="M948" s="24"/>
      <c r="N948" s="2"/>
      <c r="O948" s="51"/>
      <c r="P948" s="93"/>
      <c r="Q948" s="38"/>
      <c r="R948" s="38"/>
      <c r="S948" s="38"/>
      <c r="T948" s="38"/>
      <c r="U948" s="38"/>
      <c r="V948" s="38"/>
    </row>
    <row r="949">
      <c r="A949" s="22"/>
      <c r="B949" s="24"/>
      <c r="C949" s="24"/>
      <c r="D949" s="2"/>
      <c r="E949" s="24"/>
      <c r="F949" s="26"/>
      <c r="G949" s="24"/>
      <c r="H949" s="2"/>
      <c r="I949" s="32"/>
      <c r="J949" s="32"/>
      <c r="K949" s="24"/>
      <c r="L949" s="54"/>
      <c r="M949" s="24"/>
      <c r="N949" s="2"/>
      <c r="O949" s="51"/>
      <c r="P949" s="93"/>
      <c r="Q949" s="38"/>
      <c r="R949" s="38"/>
      <c r="S949" s="38"/>
      <c r="T949" s="38"/>
      <c r="U949" s="38"/>
      <c r="V949" s="38"/>
    </row>
    <row r="950">
      <c r="A950" s="22"/>
      <c r="B950" s="24"/>
      <c r="C950" s="24"/>
      <c r="D950" s="2"/>
      <c r="E950" s="24"/>
      <c r="F950" s="26"/>
      <c r="G950" s="24"/>
      <c r="H950" s="2"/>
      <c r="I950" s="32"/>
      <c r="J950" s="32"/>
      <c r="K950" s="24"/>
      <c r="L950" s="54"/>
      <c r="M950" s="24"/>
      <c r="N950" s="2"/>
      <c r="O950" s="51"/>
      <c r="P950" s="93"/>
      <c r="Q950" s="38"/>
      <c r="R950" s="38"/>
      <c r="S950" s="38"/>
      <c r="T950" s="38"/>
      <c r="U950" s="38"/>
      <c r="V950" s="38"/>
    </row>
    <row r="951">
      <c r="A951" s="22"/>
      <c r="B951" s="24"/>
      <c r="C951" s="24"/>
      <c r="D951" s="2"/>
      <c r="E951" s="24"/>
      <c r="F951" s="26"/>
      <c r="G951" s="24"/>
      <c r="H951" s="2"/>
      <c r="I951" s="32"/>
      <c r="J951" s="32"/>
      <c r="K951" s="24"/>
      <c r="L951" s="54"/>
      <c r="M951" s="24"/>
      <c r="N951" s="2"/>
      <c r="O951" s="51"/>
      <c r="P951" s="93"/>
      <c r="Q951" s="38"/>
      <c r="R951" s="38"/>
      <c r="S951" s="38"/>
      <c r="T951" s="38"/>
      <c r="U951" s="38"/>
      <c r="V951" s="38"/>
    </row>
    <row r="952">
      <c r="A952" s="22"/>
      <c r="B952" s="24"/>
      <c r="C952" s="24"/>
      <c r="D952" s="2"/>
      <c r="E952" s="24"/>
      <c r="F952" s="26"/>
      <c r="G952" s="24"/>
      <c r="H952" s="2"/>
      <c r="I952" s="32"/>
      <c r="J952" s="32"/>
      <c r="K952" s="24"/>
      <c r="L952" s="54"/>
      <c r="M952" s="24"/>
      <c r="N952" s="2"/>
      <c r="O952" s="51"/>
      <c r="P952" s="93"/>
      <c r="Q952" s="38"/>
      <c r="R952" s="38"/>
      <c r="S952" s="38"/>
      <c r="T952" s="38"/>
      <c r="U952" s="38"/>
      <c r="V952" s="38"/>
    </row>
    <row r="953">
      <c r="A953" s="22"/>
      <c r="B953" s="24"/>
      <c r="C953" s="24"/>
      <c r="D953" s="2"/>
      <c r="E953" s="24"/>
      <c r="F953" s="26"/>
      <c r="G953" s="24"/>
      <c r="H953" s="2"/>
      <c r="I953" s="32"/>
      <c r="J953" s="32"/>
      <c r="K953" s="24"/>
      <c r="L953" s="54"/>
      <c r="M953" s="24"/>
      <c r="N953" s="2"/>
      <c r="O953" s="51"/>
      <c r="P953" s="93"/>
      <c r="Q953" s="38"/>
      <c r="R953" s="38"/>
      <c r="S953" s="38"/>
      <c r="T953" s="38"/>
      <c r="U953" s="38"/>
      <c r="V953" s="38"/>
    </row>
    <row r="954">
      <c r="A954" s="22"/>
      <c r="B954" s="24"/>
      <c r="C954" s="24"/>
      <c r="D954" s="2"/>
      <c r="E954" s="24"/>
      <c r="F954" s="26"/>
      <c r="G954" s="24"/>
      <c r="H954" s="2"/>
      <c r="I954" s="32"/>
      <c r="J954" s="32"/>
      <c r="K954" s="24"/>
      <c r="L954" s="54"/>
      <c r="M954" s="24"/>
      <c r="N954" s="2"/>
      <c r="O954" s="51"/>
      <c r="P954" s="93"/>
      <c r="Q954" s="38"/>
      <c r="R954" s="38"/>
      <c r="S954" s="38"/>
      <c r="T954" s="38"/>
      <c r="U954" s="38"/>
      <c r="V954" s="38"/>
    </row>
    <row r="955">
      <c r="A955" s="22"/>
      <c r="B955" s="24"/>
      <c r="C955" s="24"/>
      <c r="D955" s="2"/>
      <c r="E955" s="24"/>
      <c r="F955" s="26"/>
      <c r="G955" s="24"/>
      <c r="H955" s="2"/>
      <c r="I955" s="32"/>
      <c r="J955" s="32"/>
      <c r="K955" s="24"/>
      <c r="L955" s="54"/>
      <c r="M955" s="24"/>
      <c r="N955" s="2"/>
      <c r="O955" s="51"/>
      <c r="P955" s="93"/>
      <c r="Q955" s="38"/>
      <c r="R955" s="38"/>
      <c r="S955" s="38"/>
      <c r="T955" s="38"/>
      <c r="U955" s="38"/>
      <c r="V955" s="38"/>
    </row>
    <row r="956">
      <c r="A956" s="22"/>
      <c r="B956" s="24"/>
      <c r="C956" s="24"/>
      <c r="D956" s="2"/>
      <c r="E956" s="24"/>
      <c r="F956" s="26"/>
      <c r="G956" s="24"/>
      <c r="H956" s="2"/>
      <c r="I956" s="32"/>
      <c r="J956" s="32"/>
      <c r="K956" s="24"/>
      <c r="L956" s="54"/>
      <c r="M956" s="24"/>
      <c r="N956" s="2"/>
      <c r="O956" s="51"/>
      <c r="P956" s="93"/>
      <c r="Q956" s="38"/>
      <c r="R956" s="38"/>
      <c r="S956" s="38"/>
      <c r="T956" s="38"/>
      <c r="U956" s="38"/>
      <c r="V956" s="38"/>
    </row>
    <row r="957">
      <c r="A957" s="22"/>
      <c r="B957" s="24"/>
      <c r="C957" s="24"/>
      <c r="D957" s="2"/>
      <c r="E957" s="24"/>
      <c r="F957" s="26"/>
      <c r="G957" s="24"/>
      <c r="H957" s="2"/>
      <c r="I957" s="32"/>
      <c r="J957" s="32"/>
      <c r="K957" s="24"/>
      <c r="L957" s="54"/>
      <c r="M957" s="24"/>
      <c r="N957" s="2"/>
      <c r="O957" s="51"/>
      <c r="P957" s="93"/>
      <c r="Q957" s="38"/>
      <c r="R957" s="38"/>
      <c r="S957" s="38"/>
      <c r="T957" s="38"/>
      <c r="U957" s="38"/>
      <c r="V957" s="38"/>
    </row>
    <row r="958">
      <c r="A958" s="22"/>
      <c r="B958" s="24"/>
      <c r="C958" s="24"/>
      <c r="D958" s="2"/>
      <c r="E958" s="24"/>
      <c r="F958" s="26"/>
      <c r="G958" s="24"/>
      <c r="H958" s="2"/>
      <c r="I958" s="32"/>
      <c r="J958" s="32"/>
      <c r="K958" s="24"/>
      <c r="L958" s="54"/>
      <c r="M958" s="24"/>
      <c r="N958" s="2"/>
      <c r="O958" s="51"/>
      <c r="P958" s="93"/>
      <c r="Q958" s="38"/>
      <c r="R958" s="38"/>
      <c r="S958" s="38"/>
      <c r="T958" s="38"/>
      <c r="U958" s="38"/>
      <c r="V958" s="38"/>
    </row>
    <row r="959">
      <c r="A959" s="22"/>
      <c r="B959" s="24"/>
      <c r="C959" s="24"/>
      <c r="D959" s="2"/>
      <c r="E959" s="24"/>
      <c r="F959" s="26"/>
      <c r="G959" s="24"/>
      <c r="H959" s="2"/>
      <c r="I959" s="32"/>
      <c r="J959" s="32"/>
      <c r="K959" s="24"/>
      <c r="L959" s="54"/>
      <c r="M959" s="24"/>
      <c r="N959" s="2"/>
      <c r="O959" s="51"/>
      <c r="P959" s="93"/>
      <c r="Q959" s="38"/>
      <c r="R959" s="38"/>
      <c r="S959" s="38"/>
      <c r="T959" s="38"/>
      <c r="U959" s="38"/>
      <c r="V959" s="38"/>
    </row>
    <row r="960">
      <c r="A960" s="22"/>
      <c r="B960" s="24"/>
      <c r="C960" s="24"/>
      <c r="D960" s="2"/>
      <c r="E960" s="24"/>
      <c r="F960" s="26"/>
      <c r="G960" s="24"/>
      <c r="H960" s="2"/>
      <c r="I960" s="32"/>
      <c r="J960" s="32"/>
      <c r="K960" s="24"/>
      <c r="L960" s="54"/>
      <c r="M960" s="24"/>
      <c r="N960" s="2"/>
      <c r="O960" s="51"/>
      <c r="P960" s="93"/>
      <c r="Q960" s="38"/>
      <c r="R960" s="38"/>
      <c r="S960" s="38"/>
      <c r="T960" s="38"/>
      <c r="U960" s="38"/>
      <c r="V960" s="38"/>
    </row>
    <row r="961">
      <c r="A961" s="22"/>
      <c r="B961" s="24"/>
      <c r="C961" s="24"/>
      <c r="D961" s="2"/>
      <c r="E961" s="24"/>
      <c r="F961" s="26"/>
      <c r="G961" s="24"/>
      <c r="H961" s="2"/>
      <c r="I961" s="32"/>
      <c r="J961" s="32"/>
      <c r="K961" s="24"/>
      <c r="L961" s="54"/>
      <c r="M961" s="24"/>
      <c r="N961" s="2"/>
      <c r="O961" s="51"/>
      <c r="P961" s="93"/>
      <c r="Q961" s="38"/>
      <c r="R961" s="38"/>
      <c r="S961" s="38"/>
      <c r="T961" s="38"/>
      <c r="U961" s="38"/>
      <c r="V961" s="38"/>
    </row>
    <row r="962">
      <c r="A962" s="22"/>
      <c r="B962" s="24"/>
      <c r="C962" s="24"/>
      <c r="D962" s="2"/>
      <c r="E962" s="24"/>
      <c r="F962" s="26"/>
      <c r="G962" s="24"/>
      <c r="H962" s="2"/>
      <c r="I962" s="32"/>
      <c r="J962" s="32"/>
      <c r="K962" s="24"/>
      <c r="L962" s="54"/>
      <c r="M962" s="24"/>
      <c r="N962" s="2"/>
      <c r="O962" s="51"/>
      <c r="P962" s="93"/>
      <c r="Q962" s="38"/>
      <c r="R962" s="38"/>
      <c r="S962" s="38"/>
      <c r="T962" s="38"/>
      <c r="U962" s="38"/>
      <c r="V962" s="38"/>
    </row>
    <row r="963">
      <c r="A963" s="22"/>
      <c r="B963" s="24"/>
      <c r="C963" s="24"/>
      <c r="D963" s="2"/>
      <c r="E963" s="24"/>
      <c r="F963" s="26"/>
      <c r="G963" s="24"/>
      <c r="H963" s="2"/>
      <c r="I963" s="32"/>
      <c r="J963" s="32"/>
      <c r="K963" s="24"/>
      <c r="L963" s="54"/>
      <c r="M963" s="24"/>
      <c r="N963" s="2"/>
      <c r="O963" s="51"/>
      <c r="P963" s="93"/>
      <c r="Q963" s="38"/>
      <c r="R963" s="38"/>
      <c r="S963" s="38"/>
      <c r="T963" s="38"/>
      <c r="U963" s="38"/>
      <c r="V963" s="38"/>
    </row>
    <row r="964">
      <c r="A964" s="22"/>
      <c r="B964" s="24"/>
      <c r="C964" s="24"/>
      <c r="D964" s="2"/>
      <c r="E964" s="24"/>
      <c r="F964" s="26"/>
      <c r="G964" s="24"/>
      <c r="H964" s="2"/>
      <c r="I964" s="32"/>
      <c r="J964" s="32"/>
      <c r="K964" s="24"/>
      <c r="L964" s="54"/>
      <c r="M964" s="24"/>
      <c r="N964" s="2"/>
      <c r="O964" s="51"/>
      <c r="P964" s="93"/>
      <c r="Q964" s="38"/>
      <c r="R964" s="38"/>
      <c r="S964" s="38"/>
      <c r="T964" s="38"/>
      <c r="U964" s="38"/>
      <c r="V964" s="38"/>
    </row>
    <row r="965">
      <c r="A965" s="22"/>
      <c r="B965" s="24"/>
      <c r="C965" s="24"/>
      <c r="D965" s="2"/>
      <c r="E965" s="24"/>
      <c r="F965" s="26"/>
      <c r="G965" s="24"/>
      <c r="H965" s="2"/>
      <c r="I965" s="32"/>
      <c r="J965" s="32"/>
      <c r="K965" s="24"/>
      <c r="L965" s="54"/>
      <c r="M965" s="24"/>
      <c r="N965" s="2"/>
      <c r="O965" s="51"/>
      <c r="P965" s="93"/>
      <c r="Q965" s="38"/>
      <c r="R965" s="38"/>
      <c r="S965" s="38"/>
      <c r="T965" s="38"/>
      <c r="U965" s="38"/>
      <c r="V965" s="38"/>
    </row>
    <row r="966">
      <c r="A966" s="22"/>
      <c r="B966" s="24"/>
      <c r="C966" s="24"/>
      <c r="D966" s="2"/>
      <c r="E966" s="24"/>
      <c r="F966" s="26"/>
      <c r="G966" s="24"/>
      <c r="H966" s="2"/>
      <c r="I966" s="32"/>
      <c r="J966" s="32"/>
      <c r="K966" s="24"/>
      <c r="L966" s="54"/>
      <c r="M966" s="24"/>
      <c r="N966" s="2"/>
      <c r="O966" s="51"/>
      <c r="P966" s="93"/>
      <c r="Q966" s="38"/>
      <c r="R966" s="38"/>
      <c r="S966" s="38"/>
      <c r="T966" s="38"/>
      <c r="U966" s="38"/>
      <c r="V966" s="38"/>
    </row>
    <row r="967">
      <c r="A967" s="22"/>
      <c r="B967" s="24"/>
      <c r="C967" s="24"/>
      <c r="D967" s="2"/>
      <c r="E967" s="24"/>
      <c r="F967" s="26"/>
      <c r="G967" s="24"/>
      <c r="H967" s="2"/>
      <c r="I967" s="32"/>
      <c r="J967" s="32"/>
      <c r="K967" s="24"/>
      <c r="L967" s="54"/>
      <c r="M967" s="24"/>
      <c r="N967" s="2"/>
      <c r="O967" s="51"/>
      <c r="P967" s="93"/>
      <c r="Q967" s="38"/>
      <c r="R967" s="38"/>
      <c r="S967" s="38"/>
      <c r="T967" s="38"/>
      <c r="U967" s="38"/>
      <c r="V967" s="38"/>
    </row>
    <row r="968">
      <c r="A968" s="22"/>
      <c r="B968" s="24"/>
      <c r="C968" s="24"/>
      <c r="D968" s="2"/>
      <c r="E968" s="24"/>
      <c r="F968" s="26"/>
      <c r="G968" s="24"/>
      <c r="H968" s="2"/>
      <c r="I968" s="32"/>
      <c r="J968" s="32"/>
      <c r="K968" s="24"/>
      <c r="L968" s="54"/>
      <c r="M968" s="24"/>
      <c r="N968" s="2"/>
      <c r="O968" s="51"/>
      <c r="P968" s="93"/>
      <c r="Q968" s="38"/>
      <c r="R968" s="38"/>
      <c r="S968" s="38"/>
      <c r="T968" s="38"/>
      <c r="U968" s="38"/>
      <c r="V968" s="38"/>
    </row>
    <row r="969">
      <c r="A969" s="22"/>
      <c r="B969" s="24"/>
      <c r="C969" s="24"/>
      <c r="D969" s="2"/>
      <c r="E969" s="24"/>
      <c r="F969" s="26"/>
      <c r="G969" s="24"/>
      <c r="H969" s="2"/>
      <c r="I969" s="32"/>
      <c r="J969" s="32"/>
      <c r="K969" s="24"/>
      <c r="L969" s="54"/>
      <c r="M969" s="24"/>
      <c r="N969" s="2"/>
      <c r="O969" s="51"/>
      <c r="P969" s="93"/>
      <c r="Q969" s="38"/>
      <c r="R969" s="38"/>
      <c r="S969" s="38"/>
      <c r="T969" s="38"/>
      <c r="U969" s="38"/>
      <c r="V969" s="38"/>
    </row>
    <row r="970">
      <c r="A970" s="22"/>
      <c r="B970" s="24"/>
      <c r="C970" s="24"/>
      <c r="D970" s="2"/>
      <c r="E970" s="24"/>
      <c r="F970" s="26"/>
      <c r="G970" s="24"/>
      <c r="H970" s="2"/>
      <c r="I970" s="32"/>
      <c r="J970" s="32"/>
      <c r="K970" s="24"/>
      <c r="L970" s="54"/>
      <c r="M970" s="24"/>
      <c r="N970" s="2"/>
      <c r="O970" s="51"/>
      <c r="P970" s="93"/>
      <c r="Q970" s="38"/>
      <c r="R970" s="38"/>
      <c r="S970" s="38"/>
      <c r="T970" s="38"/>
      <c r="U970" s="38"/>
      <c r="V970" s="38"/>
    </row>
    <row r="971">
      <c r="A971" s="22"/>
      <c r="B971" s="24"/>
      <c r="C971" s="24"/>
      <c r="D971" s="2"/>
      <c r="E971" s="24"/>
      <c r="F971" s="26"/>
      <c r="G971" s="24"/>
      <c r="H971" s="2"/>
      <c r="I971" s="32"/>
      <c r="J971" s="32"/>
      <c r="K971" s="24"/>
      <c r="L971" s="54"/>
      <c r="M971" s="24"/>
      <c r="N971" s="2"/>
      <c r="O971" s="51"/>
      <c r="P971" s="93"/>
      <c r="Q971" s="38"/>
      <c r="R971" s="38"/>
      <c r="S971" s="38"/>
      <c r="T971" s="38"/>
      <c r="U971" s="38"/>
      <c r="V971" s="38"/>
    </row>
    <row r="972">
      <c r="A972" s="22"/>
      <c r="B972" s="24"/>
      <c r="C972" s="24"/>
      <c r="D972" s="2"/>
      <c r="E972" s="24"/>
      <c r="F972" s="26"/>
      <c r="G972" s="24"/>
      <c r="H972" s="2"/>
      <c r="I972" s="32"/>
      <c r="J972" s="32"/>
      <c r="K972" s="24"/>
      <c r="L972" s="54"/>
      <c r="M972" s="24"/>
      <c r="N972" s="2"/>
      <c r="O972" s="51"/>
      <c r="P972" s="93"/>
      <c r="Q972" s="38"/>
      <c r="R972" s="38"/>
      <c r="S972" s="38"/>
      <c r="T972" s="38"/>
      <c r="U972" s="38"/>
      <c r="V972" s="38"/>
    </row>
    <row r="973">
      <c r="A973" s="22"/>
      <c r="B973" s="24"/>
      <c r="C973" s="24"/>
      <c r="D973" s="2"/>
      <c r="E973" s="24"/>
      <c r="F973" s="26"/>
      <c r="G973" s="24"/>
      <c r="H973" s="2"/>
      <c r="I973" s="32"/>
      <c r="J973" s="32"/>
      <c r="K973" s="24"/>
      <c r="L973" s="54"/>
      <c r="M973" s="24"/>
      <c r="N973" s="2"/>
      <c r="O973" s="51"/>
      <c r="P973" s="93"/>
      <c r="Q973" s="38"/>
      <c r="R973" s="38"/>
      <c r="S973" s="38"/>
      <c r="T973" s="38"/>
      <c r="U973" s="38"/>
      <c r="V973" s="38"/>
    </row>
    <row r="974">
      <c r="A974" s="22"/>
      <c r="B974" s="24"/>
      <c r="C974" s="24"/>
      <c r="D974" s="2"/>
      <c r="E974" s="24"/>
      <c r="F974" s="26"/>
      <c r="G974" s="24"/>
      <c r="H974" s="2"/>
      <c r="I974" s="32"/>
      <c r="J974" s="32"/>
      <c r="K974" s="24"/>
      <c r="L974" s="54"/>
      <c r="M974" s="24"/>
      <c r="N974" s="2"/>
      <c r="O974" s="51"/>
      <c r="P974" s="93"/>
      <c r="Q974" s="38"/>
      <c r="R974" s="38"/>
      <c r="S974" s="38"/>
      <c r="T974" s="38"/>
      <c r="U974" s="38"/>
      <c r="V974" s="38"/>
    </row>
    <row r="975">
      <c r="A975" s="22"/>
      <c r="B975" s="24"/>
      <c r="C975" s="24"/>
      <c r="D975" s="2"/>
      <c r="E975" s="24"/>
      <c r="F975" s="26"/>
      <c r="G975" s="24"/>
      <c r="H975" s="2"/>
      <c r="I975" s="32"/>
      <c r="J975" s="32"/>
      <c r="K975" s="24"/>
      <c r="L975" s="54"/>
      <c r="M975" s="24"/>
      <c r="N975" s="2"/>
      <c r="O975" s="51"/>
      <c r="P975" s="93"/>
      <c r="Q975" s="38"/>
      <c r="R975" s="38"/>
      <c r="S975" s="38"/>
      <c r="T975" s="38"/>
      <c r="U975" s="38"/>
      <c r="V975" s="38"/>
    </row>
    <row r="976">
      <c r="A976" s="22"/>
      <c r="B976" s="24"/>
      <c r="C976" s="24"/>
      <c r="D976" s="2"/>
      <c r="E976" s="24"/>
      <c r="F976" s="26"/>
      <c r="G976" s="24"/>
      <c r="H976" s="2"/>
      <c r="I976" s="32"/>
      <c r="J976" s="32"/>
      <c r="K976" s="24"/>
      <c r="L976" s="54"/>
      <c r="M976" s="24"/>
      <c r="N976" s="2"/>
      <c r="O976" s="51"/>
      <c r="P976" s="93"/>
      <c r="Q976" s="38"/>
      <c r="R976" s="38"/>
      <c r="S976" s="38"/>
      <c r="T976" s="38"/>
      <c r="U976" s="38"/>
      <c r="V976" s="38"/>
    </row>
    <row r="977">
      <c r="A977" s="22"/>
      <c r="B977" s="24"/>
      <c r="C977" s="24"/>
      <c r="D977" s="2"/>
      <c r="E977" s="24"/>
      <c r="F977" s="26"/>
      <c r="G977" s="24"/>
      <c r="H977" s="2"/>
      <c r="I977" s="32"/>
      <c r="J977" s="32"/>
      <c r="K977" s="24"/>
      <c r="L977" s="54"/>
      <c r="M977" s="24"/>
      <c r="N977" s="2"/>
      <c r="O977" s="51"/>
      <c r="P977" s="93"/>
      <c r="Q977" s="38"/>
      <c r="R977" s="38"/>
      <c r="S977" s="38"/>
      <c r="T977" s="38"/>
      <c r="U977" s="38"/>
      <c r="V977" s="38"/>
    </row>
    <row r="978">
      <c r="A978" s="22"/>
      <c r="B978" s="24"/>
      <c r="C978" s="24"/>
      <c r="D978" s="2"/>
      <c r="E978" s="24"/>
      <c r="F978" s="26"/>
      <c r="G978" s="24"/>
      <c r="H978" s="2"/>
      <c r="I978" s="32"/>
      <c r="J978" s="32"/>
      <c r="K978" s="24"/>
      <c r="L978" s="54"/>
      <c r="M978" s="24"/>
      <c r="N978" s="2"/>
      <c r="O978" s="51"/>
      <c r="P978" s="93"/>
      <c r="Q978" s="38"/>
      <c r="R978" s="38"/>
      <c r="S978" s="38"/>
      <c r="T978" s="38"/>
      <c r="U978" s="38"/>
      <c r="V978" s="38"/>
    </row>
    <row r="979">
      <c r="A979" s="22"/>
      <c r="B979" s="24"/>
      <c r="C979" s="24"/>
      <c r="D979" s="2"/>
      <c r="E979" s="24"/>
      <c r="F979" s="26"/>
      <c r="G979" s="24"/>
      <c r="H979" s="2"/>
      <c r="I979" s="32"/>
      <c r="J979" s="32"/>
      <c r="K979" s="24"/>
      <c r="L979" s="54"/>
      <c r="M979" s="24"/>
      <c r="N979" s="2"/>
      <c r="O979" s="51"/>
      <c r="P979" s="93"/>
      <c r="Q979" s="38"/>
      <c r="R979" s="38"/>
      <c r="S979" s="38"/>
      <c r="T979" s="38"/>
      <c r="U979" s="38"/>
      <c r="V979" s="38"/>
    </row>
    <row r="980">
      <c r="A980" s="22"/>
      <c r="B980" s="24"/>
      <c r="C980" s="24"/>
      <c r="D980" s="2"/>
      <c r="E980" s="24"/>
      <c r="F980" s="26"/>
      <c r="G980" s="24"/>
      <c r="H980" s="2"/>
      <c r="I980" s="32"/>
      <c r="J980" s="32"/>
      <c r="K980" s="24"/>
      <c r="L980" s="54"/>
      <c r="M980" s="24"/>
      <c r="N980" s="2"/>
      <c r="O980" s="51"/>
      <c r="P980" s="93"/>
      <c r="Q980" s="38"/>
      <c r="R980" s="38"/>
      <c r="S980" s="38"/>
      <c r="T980" s="38"/>
      <c r="U980" s="38"/>
      <c r="V980" s="38"/>
    </row>
    <row r="981">
      <c r="A981" s="22"/>
      <c r="B981" s="24"/>
      <c r="C981" s="24"/>
      <c r="D981" s="2"/>
      <c r="E981" s="24"/>
      <c r="F981" s="26"/>
      <c r="G981" s="24"/>
      <c r="H981" s="2"/>
      <c r="I981" s="32"/>
      <c r="J981" s="32"/>
      <c r="K981" s="24"/>
      <c r="L981" s="54"/>
      <c r="M981" s="24"/>
      <c r="N981" s="2"/>
      <c r="O981" s="51"/>
      <c r="P981" s="93"/>
      <c r="Q981" s="38"/>
      <c r="R981" s="38"/>
      <c r="S981" s="38"/>
      <c r="T981" s="38"/>
      <c r="U981" s="38"/>
      <c r="V981" s="38"/>
    </row>
    <row r="982">
      <c r="A982" s="22"/>
      <c r="B982" s="24"/>
      <c r="C982" s="24"/>
      <c r="D982" s="2"/>
      <c r="E982" s="24"/>
      <c r="F982" s="26"/>
      <c r="G982" s="24"/>
      <c r="H982" s="2"/>
      <c r="I982" s="32"/>
      <c r="J982" s="32"/>
      <c r="K982" s="24"/>
      <c r="L982" s="54"/>
      <c r="M982" s="24"/>
      <c r="N982" s="2"/>
      <c r="O982" s="51"/>
      <c r="P982" s="93"/>
      <c r="Q982" s="38"/>
      <c r="R982" s="38"/>
      <c r="S982" s="38"/>
      <c r="T982" s="38"/>
      <c r="U982" s="38"/>
      <c r="V982" s="38"/>
    </row>
    <row r="983">
      <c r="A983" s="22"/>
      <c r="B983" s="24"/>
      <c r="C983" s="24"/>
      <c r="D983" s="2"/>
      <c r="E983" s="24"/>
      <c r="F983" s="26"/>
      <c r="G983" s="24"/>
      <c r="H983" s="2"/>
      <c r="I983" s="32"/>
      <c r="J983" s="32"/>
      <c r="K983" s="24"/>
      <c r="L983" s="54"/>
      <c r="M983" s="24"/>
      <c r="N983" s="2"/>
      <c r="O983" s="51"/>
      <c r="P983" s="93"/>
      <c r="Q983" s="38"/>
      <c r="R983" s="38"/>
      <c r="S983" s="38"/>
      <c r="T983" s="38"/>
      <c r="U983" s="38"/>
      <c r="V983" s="38"/>
    </row>
    <row r="984">
      <c r="A984" s="22"/>
      <c r="B984" s="24"/>
      <c r="C984" s="24"/>
      <c r="D984" s="2"/>
      <c r="E984" s="24"/>
      <c r="F984" s="26"/>
      <c r="G984" s="24"/>
      <c r="H984" s="2"/>
      <c r="I984" s="32"/>
      <c r="J984" s="32"/>
      <c r="K984" s="24"/>
      <c r="L984" s="54"/>
      <c r="M984" s="24"/>
      <c r="N984" s="2"/>
      <c r="O984" s="51"/>
      <c r="P984" s="93"/>
      <c r="Q984" s="38"/>
      <c r="R984" s="38"/>
      <c r="S984" s="38"/>
      <c r="T984" s="38"/>
      <c r="U984" s="38"/>
      <c r="V984" s="38"/>
    </row>
    <row r="985">
      <c r="A985" s="22"/>
      <c r="B985" s="24"/>
      <c r="C985" s="24"/>
      <c r="D985" s="2"/>
      <c r="E985" s="24"/>
      <c r="F985" s="26"/>
      <c r="G985" s="24"/>
      <c r="H985" s="2"/>
      <c r="I985" s="32"/>
      <c r="J985" s="32"/>
      <c r="K985" s="24"/>
      <c r="L985" s="54"/>
      <c r="M985" s="24"/>
      <c r="N985" s="2"/>
      <c r="O985" s="51"/>
      <c r="P985" s="93"/>
      <c r="Q985" s="38"/>
      <c r="R985" s="38"/>
      <c r="S985" s="38"/>
      <c r="T985" s="38"/>
      <c r="U985" s="38"/>
      <c r="V985" s="38"/>
    </row>
    <row r="986">
      <c r="A986" s="22"/>
      <c r="B986" s="24"/>
      <c r="C986" s="24"/>
      <c r="D986" s="2"/>
      <c r="E986" s="24"/>
      <c r="F986" s="26"/>
      <c r="G986" s="24"/>
      <c r="H986" s="2"/>
      <c r="I986" s="32"/>
      <c r="J986" s="32"/>
      <c r="K986" s="24"/>
      <c r="L986" s="54"/>
      <c r="M986" s="24"/>
      <c r="N986" s="2"/>
      <c r="O986" s="51"/>
      <c r="P986" s="93"/>
      <c r="Q986" s="38"/>
      <c r="R986" s="38"/>
      <c r="S986" s="38"/>
      <c r="T986" s="38"/>
      <c r="U986" s="38"/>
      <c r="V986" s="38"/>
    </row>
    <row r="987">
      <c r="A987" s="22"/>
      <c r="B987" s="24"/>
      <c r="C987" s="24"/>
      <c r="D987" s="2"/>
      <c r="E987" s="24"/>
      <c r="F987" s="26"/>
      <c r="G987" s="24"/>
      <c r="H987" s="2"/>
      <c r="I987" s="32"/>
      <c r="J987" s="32"/>
      <c r="K987" s="24"/>
      <c r="L987" s="54"/>
      <c r="M987" s="24"/>
      <c r="N987" s="2"/>
      <c r="O987" s="51"/>
      <c r="P987" s="93"/>
      <c r="Q987" s="38"/>
      <c r="R987" s="38"/>
      <c r="S987" s="38"/>
      <c r="T987" s="38"/>
      <c r="U987" s="38"/>
      <c r="V987" s="38"/>
    </row>
    <row r="988">
      <c r="A988" s="22"/>
      <c r="B988" s="24"/>
      <c r="C988" s="24"/>
      <c r="D988" s="2"/>
      <c r="E988" s="24"/>
      <c r="F988" s="26"/>
      <c r="G988" s="24"/>
      <c r="H988" s="2"/>
      <c r="I988" s="32"/>
      <c r="J988" s="32"/>
      <c r="K988" s="24"/>
      <c r="L988" s="54"/>
      <c r="M988" s="24"/>
      <c r="N988" s="2"/>
      <c r="O988" s="51"/>
      <c r="P988" s="93"/>
      <c r="Q988" s="38"/>
      <c r="R988" s="38"/>
      <c r="S988" s="38"/>
      <c r="T988" s="38"/>
      <c r="U988" s="38"/>
      <c r="V988" s="38"/>
    </row>
    <row r="989">
      <c r="A989" s="22"/>
      <c r="B989" s="24"/>
      <c r="C989" s="24"/>
      <c r="D989" s="2"/>
      <c r="E989" s="24"/>
      <c r="F989" s="26"/>
      <c r="G989" s="24"/>
      <c r="H989" s="2"/>
      <c r="I989" s="32"/>
      <c r="J989" s="32"/>
      <c r="K989" s="24"/>
      <c r="L989" s="54"/>
      <c r="M989" s="24"/>
      <c r="N989" s="2"/>
      <c r="O989" s="51"/>
      <c r="P989" s="93"/>
      <c r="Q989" s="38"/>
      <c r="R989" s="38"/>
      <c r="S989" s="38"/>
      <c r="T989" s="38"/>
      <c r="U989" s="38"/>
      <c r="V989" s="38"/>
    </row>
    <row r="990">
      <c r="A990" s="22"/>
      <c r="B990" s="24"/>
      <c r="C990" s="24"/>
      <c r="D990" s="2"/>
      <c r="E990" s="24"/>
      <c r="F990" s="26"/>
      <c r="G990" s="24"/>
      <c r="H990" s="2"/>
      <c r="I990" s="32"/>
      <c r="J990" s="32"/>
      <c r="K990" s="24"/>
      <c r="L990" s="54"/>
      <c r="M990" s="24"/>
      <c r="N990" s="2"/>
      <c r="O990" s="51"/>
      <c r="P990" s="93"/>
      <c r="Q990" s="38"/>
      <c r="R990" s="38"/>
      <c r="S990" s="38"/>
      <c r="T990" s="38"/>
      <c r="U990" s="38"/>
      <c r="V990" s="38"/>
    </row>
    <row r="991">
      <c r="A991" s="22"/>
      <c r="B991" s="24"/>
      <c r="C991" s="24"/>
      <c r="D991" s="2"/>
      <c r="E991" s="24"/>
      <c r="F991" s="26"/>
      <c r="G991" s="24"/>
      <c r="H991" s="2"/>
      <c r="I991" s="32"/>
      <c r="J991" s="32"/>
      <c r="K991" s="24"/>
      <c r="L991" s="54"/>
      <c r="M991" s="24"/>
      <c r="N991" s="2"/>
      <c r="O991" s="51"/>
      <c r="P991" s="93"/>
      <c r="Q991" s="38"/>
      <c r="R991" s="38"/>
      <c r="S991" s="38"/>
      <c r="T991" s="38"/>
      <c r="U991" s="38"/>
      <c r="V991" s="38"/>
    </row>
    <row r="992">
      <c r="A992" s="22"/>
      <c r="B992" s="24"/>
      <c r="C992" s="24"/>
      <c r="D992" s="2"/>
      <c r="E992" s="24"/>
      <c r="F992" s="26"/>
      <c r="G992" s="24"/>
      <c r="H992" s="2"/>
      <c r="I992" s="32"/>
      <c r="J992" s="32"/>
      <c r="K992" s="24"/>
      <c r="L992" s="54"/>
      <c r="M992" s="24"/>
      <c r="N992" s="2"/>
      <c r="O992" s="51"/>
      <c r="P992" s="93"/>
      <c r="Q992" s="38"/>
      <c r="R992" s="38"/>
      <c r="S992" s="38"/>
      <c r="T992" s="38"/>
      <c r="U992" s="38"/>
      <c r="V992" s="38"/>
    </row>
    <row r="993">
      <c r="A993" s="22"/>
      <c r="B993" s="24"/>
      <c r="C993" s="24"/>
      <c r="D993" s="2"/>
      <c r="E993" s="24"/>
      <c r="F993" s="26"/>
      <c r="G993" s="24"/>
      <c r="H993" s="2"/>
      <c r="I993" s="32"/>
      <c r="J993" s="32"/>
      <c r="K993" s="24"/>
      <c r="L993" s="54"/>
      <c r="M993" s="24"/>
      <c r="N993" s="2"/>
      <c r="O993" s="51"/>
      <c r="P993" s="93"/>
      <c r="Q993" s="38"/>
      <c r="R993" s="38"/>
      <c r="S993" s="38"/>
      <c r="T993" s="38"/>
      <c r="U993" s="38"/>
      <c r="V993" s="38"/>
    </row>
    <row r="994">
      <c r="A994" s="22"/>
      <c r="B994" s="24"/>
      <c r="C994" s="24"/>
      <c r="D994" s="2"/>
      <c r="E994" s="24"/>
      <c r="F994" s="26"/>
      <c r="G994" s="24"/>
      <c r="H994" s="2"/>
      <c r="I994" s="32"/>
      <c r="J994" s="32"/>
      <c r="K994" s="24"/>
      <c r="L994" s="54"/>
      <c r="M994" s="24"/>
      <c r="N994" s="2"/>
      <c r="O994" s="51"/>
      <c r="P994" s="93"/>
      <c r="Q994" s="38"/>
      <c r="R994" s="38"/>
      <c r="S994" s="38"/>
      <c r="T994" s="38"/>
      <c r="U994" s="38"/>
      <c r="V994" s="38"/>
    </row>
    <row r="995">
      <c r="A995" s="22"/>
      <c r="B995" s="24"/>
      <c r="C995" s="24"/>
      <c r="D995" s="2"/>
      <c r="E995" s="24"/>
      <c r="F995" s="26"/>
      <c r="G995" s="24"/>
      <c r="H995" s="2"/>
      <c r="I995" s="32"/>
      <c r="J995" s="32"/>
      <c r="K995" s="24"/>
      <c r="L995" s="54"/>
      <c r="M995" s="24"/>
      <c r="N995" s="2"/>
      <c r="O995" s="51"/>
      <c r="P995" s="93"/>
      <c r="Q995" s="38"/>
      <c r="R995" s="38"/>
      <c r="S995" s="38"/>
      <c r="T995" s="38"/>
      <c r="U995" s="38"/>
      <c r="V995" s="38"/>
    </row>
    <row r="996">
      <c r="A996" s="22"/>
      <c r="B996" s="24"/>
      <c r="C996" s="24"/>
      <c r="D996" s="2"/>
      <c r="E996" s="24"/>
      <c r="F996" s="26"/>
      <c r="G996" s="24"/>
      <c r="H996" s="2"/>
      <c r="I996" s="32"/>
      <c r="J996" s="32"/>
      <c r="K996" s="24"/>
      <c r="L996" s="54"/>
      <c r="M996" s="24"/>
      <c r="N996" s="2"/>
      <c r="O996" s="51"/>
      <c r="P996" s="93"/>
      <c r="Q996" s="38"/>
      <c r="R996" s="38"/>
      <c r="S996" s="38"/>
      <c r="T996" s="38"/>
      <c r="U996" s="38"/>
      <c r="V996" s="38"/>
    </row>
    <row r="997">
      <c r="A997" s="22"/>
      <c r="B997" s="24"/>
      <c r="C997" s="24"/>
      <c r="D997" s="2"/>
      <c r="E997" s="24"/>
      <c r="F997" s="26"/>
      <c r="G997" s="24"/>
      <c r="H997" s="2"/>
      <c r="I997" s="32"/>
      <c r="J997" s="32"/>
      <c r="K997" s="24"/>
      <c r="L997" s="54"/>
      <c r="M997" s="24"/>
      <c r="N997" s="2"/>
      <c r="O997" s="51"/>
      <c r="P997" s="93"/>
      <c r="Q997" s="38"/>
      <c r="R997" s="38"/>
      <c r="S997" s="38"/>
      <c r="T997" s="38"/>
      <c r="U997" s="38"/>
      <c r="V997" s="38"/>
    </row>
    <row r="998">
      <c r="A998" s="22"/>
      <c r="B998" s="24"/>
      <c r="C998" s="24"/>
      <c r="D998" s="2"/>
      <c r="E998" s="24"/>
      <c r="F998" s="26"/>
      <c r="G998" s="24"/>
      <c r="H998" s="2"/>
      <c r="I998" s="32"/>
      <c r="J998" s="32"/>
      <c r="K998" s="24"/>
      <c r="L998" s="54"/>
      <c r="M998" s="24"/>
      <c r="N998" s="2"/>
      <c r="O998" s="51"/>
      <c r="P998" s="93"/>
      <c r="Q998" s="38"/>
      <c r="R998" s="38"/>
      <c r="S998" s="38"/>
      <c r="T998" s="38"/>
      <c r="U998" s="38"/>
      <c r="V998" s="38"/>
    </row>
    <row r="999">
      <c r="A999" s="22"/>
      <c r="B999" s="24"/>
      <c r="C999" s="24"/>
      <c r="D999" s="2"/>
      <c r="E999" s="24"/>
      <c r="F999" s="26"/>
      <c r="G999" s="24"/>
      <c r="H999" s="2"/>
      <c r="I999" s="32"/>
      <c r="J999" s="32"/>
      <c r="K999" s="24"/>
      <c r="L999" s="54"/>
      <c r="M999" s="24"/>
      <c r="N999" s="2"/>
      <c r="O999" s="51"/>
      <c r="P999" s="93"/>
      <c r="Q999" s="38"/>
      <c r="R999" s="38"/>
      <c r="S999" s="38"/>
      <c r="T999" s="38"/>
      <c r="U999" s="38"/>
      <c r="V999" s="38"/>
    </row>
    <row r="1000">
      <c r="A1000" s="22"/>
      <c r="B1000" s="24"/>
      <c r="C1000" s="24"/>
      <c r="D1000" s="2"/>
      <c r="E1000" s="24"/>
      <c r="F1000" s="26"/>
      <c r="G1000" s="24"/>
      <c r="H1000" s="2"/>
      <c r="I1000" s="32"/>
      <c r="J1000" s="32"/>
      <c r="K1000" s="24"/>
      <c r="L1000" s="54"/>
      <c r="M1000" s="24"/>
      <c r="N1000" s="2"/>
      <c r="O1000" s="51"/>
      <c r="P1000" s="93"/>
      <c r="Q1000" s="38"/>
      <c r="R1000" s="38"/>
      <c r="S1000" s="38"/>
      <c r="T1000" s="38"/>
      <c r="U1000" s="38"/>
      <c r="V1000" s="38"/>
    </row>
    <row r="1001">
      <c r="A1001" s="22"/>
      <c r="B1001" s="24"/>
      <c r="C1001" s="24"/>
      <c r="D1001" s="2"/>
      <c r="E1001" s="24"/>
      <c r="F1001" s="26"/>
      <c r="G1001" s="24"/>
      <c r="H1001" s="2"/>
      <c r="I1001" s="32"/>
      <c r="J1001" s="32"/>
      <c r="K1001" s="24"/>
      <c r="L1001" s="54"/>
      <c r="M1001" s="24"/>
      <c r="N1001" s="2"/>
      <c r="O1001" s="51"/>
      <c r="P1001" s="93"/>
      <c r="Q1001" s="38"/>
      <c r="R1001" s="38"/>
      <c r="S1001" s="38"/>
      <c r="T1001" s="38"/>
      <c r="U1001" s="38"/>
      <c r="V1001" s="38"/>
    </row>
    <row r="1002">
      <c r="A1002" s="22"/>
      <c r="B1002" s="24"/>
      <c r="C1002" s="24"/>
      <c r="D1002" s="2"/>
      <c r="E1002" s="24"/>
      <c r="F1002" s="26"/>
      <c r="G1002" s="24"/>
      <c r="H1002" s="2"/>
      <c r="I1002" s="32"/>
      <c r="J1002" s="32"/>
      <c r="K1002" s="24"/>
      <c r="L1002" s="54"/>
      <c r="M1002" s="24"/>
      <c r="N1002" s="2"/>
      <c r="O1002" s="51"/>
      <c r="P1002" s="93"/>
      <c r="Q1002" s="38"/>
      <c r="R1002" s="38"/>
      <c r="S1002" s="38"/>
      <c r="T1002" s="38"/>
      <c r="U1002" s="38"/>
      <c r="V1002" s="38"/>
    </row>
    <row r="1003">
      <c r="A1003" s="22"/>
      <c r="B1003" s="24"/>
      <c r="C1003" s="24"/>
      <c r="D1003" s="2"/>
      <c r="E1003" s="24"/>
      <c r="F1003" s="26"/>
      <c r="G1003" s="24"/>
      <c r="H1003" s="2"/>
      <c r="I1003" s="32"/>
      <c r="J1003" s="32"/>
      <c r="K1003" s="24"/>
      <c r="L1003" s="54"/>
      <c r="M1003" s="24"/>
      <c r="N1003" s="2"/>
      <c r="O1003" s="51"/>
      <c r="P1003" s="93"/>
      <c r="Q1003" s="38"/>
      <c r="R1003" s="38"/>
      <c r="S1003" s="38"/>
      <c r="T1003" s="38"/>
      <c r="U1003" s="38"/>
      <c r="V1003" s="38"/>
    </row>
    <row r="1004">
      <c r="A1004" s="22"/>
      <c r="B1004" s="24"/>
      <c r="C1004" s="24"/>
      <c r="D1004" s="2"/>
      <c r="E1004" s="24"/>
      <c r="F1004" s="26"/>
      <c r="G1004" s="24"/>
      <c r="H1004" s="2"/>
      <c r="I1004" s="32"/>
      <c r="J1004" s="32"/>
      <c r="K1004" s="24"/>
      <c r="L1004" s="54"/>
      <c r="M1004" s="24"/>
      <c r="N1004" s="2"/>
      <c r="O1004" s="51"/>
      <c r="P1004" s="93"/>
      <c r="Q1004" s="38"/>
      <c r="R1004" s="38"/>
      <c r="S1004" s="38"/>
      <c r="T1004" s="38"/>
      <c r="U1004" s="38"/>
      <c r="V1004" s="38"/>
    </row>
    <row r="1005">
      <c r="A1005" s="22"/>
      <c r="B1005" s="24"/>
      <c r="C1005" s="24"/>
      <c r="D1005" s="2"/>
      <c r="E1005" s="24"/>
      <c r="F1005" s="26"/>
      <c r="G1005" s="24"/>
      <c r="H1005" s="2"/>
      <c r="I1005" s="32"/>
      <c r="J1005" s="32"/>
      <c r="K1005" s="24"/>
      <c r="L1005" s="54"/>
      <c r="M1005" s="24"/>
      <c r="N1005" s="2"/>
      <c r="O1005" s="51"/>
      <c r="P1005" s="93"/>
      <c r="Q1005" s="38"/>
      <c r="R1005" s="38"/>
      <c r="S1005" s="38"/>
      <c r="T1005" s="38"/>
      <c r="U1005" s="38"/>
      <c r="V1005" s="38"/>
    </row>
    <row r="1006">
      <c r="A1006" s="22"/>
      <c r="B1006" s="24"/>
      <c r="C1006" s="24"/>
      <c r="D1006" s="2"/>
      <c r="E1006" s="24"/>
      <c r="F1006" s="26"/>
      <c r="G1006" s="24"/>
      <c r="H1006" s="2"/>
      <c r="I1006" s="32"/>
      <c r="J1006" s="32"/>
      <c r="K1006" s="24"/>
      <c r="L1006" s="54"/>
      <c r="M1006" s="24"/>
      <c r="N1006" s="2"/>
      <c r="O1006" s="51"/>
      <c r="P1006" s="93"/>
      <c r="Q1006" s="38"/>
      <c r="R1006" s="38"/>
      <c r="S1006" s="38"/>
      <c r="T1006" s="38"/>
      <c r="U1006" s="38"/>
      <c r="V1006" s="38"/>
    </row>
    <row r="1007">
      <c r="A1007" s="22"/>
      <c r="B1007" s="24"/>
      <c r="C1007" s="24"/>
      <c r="D1007" s="2"/>
      <c r="E1007" s="24"/>
      <c r="F1007" s="26"/>
      <c r="G1007" s="24"/>
      <c r="H1007" s="2"/>
      <c r="I1007" s="32"/>
      <c r="J1007" s="32"/>
      <c r="K1007" s="24"/>
      <c r="L1007" s="54"/>
      <c r="M1007" s="24"/>
      <c r="N1007" s="2"/>
      <c r="O1007" s="51"/>
      <c r="P1007" s="93"/>
      <c r="Q1007" s="38"/>
      <c r="R1007" s="38"/>
      <c r="S1007" s="38"/>
      <c r="T1007" s="38"/>
      <c r="U1007" s="38"/>
      <c r="V1007" s="38"/>
    </row>
    <row r="1008">
      <c r="A1008" s="22"/>
      <c r="B1008" s="24"/>
      <c r="C1008" s="24"/>
      <c r="D1008" s="2"/>
      <c r="E1008" s="24"/>
      <c r="F1008" s="26"/>
      <c r="G1008" s="24"/>
      <c r="H1008" s="2"/>
      <c r="I1008" s="32"/>
      <c r="J1008" s="32"/>
      <c r="K1008" s="24"/>
      <c r="L1008" s="54"/>
      <c r="M1008" s="24"/>
      <c r="N1008" s="2"/>
      <c r="O1008" s="51"/>
      <c r="P1008" s="93"/>
      <c r="Q1008" s="38"/>
      <c r="R1008" s="38"/>
      <c r="S1008" s="38"/>
      <c r="T1008" s="38"/>
      <c r="U1008" s="38"/>
      <c r="V1008" s="38"/>
    </row>
    <row r="1009">
      <c r="A1009" s="22"/>
      <c r="B1009" s="24"/>
      <c r="C1009" s="24"/>
      <c r="D1009" s="2"/>
      <c r="E1009" s="24"/>
      <c r="F1009" s="26"/>
      <c r="G1009" s="24"/>
      <c r="H1009" s="2"/>
      <c r="I1009" s="32"/>
      <c r="J1009" s="32"/>
      <c r="K1009" s="24"/>
      <c r="L1009" s="54"/>
      <c r="M1009" s="24"/>
      <c r="N1009" s="2"/>
      <c r="O1009" s="51"/>
      <c r="P1009" s="93"/>
      <c r="Q1009" s="38"/>
      <c r="R1009" s="38"/>
      <c r="S1009" s="38"/>
      <c r="T1009" s="38"/>
      <c r="U1009" s="38"/>
      <c r="V1009" s="38"/>
    </row>
    <row r="1010">
      <c r="A1010" s="134"/>
      <c r="B1010" s="33"/>
      <c r="C1010" s="33"/>
      <c r="D1010" s="135"/>
      <c r="E1010" s="33"/>
      <c r="F1010" s="136"/>
      <c r="G1010" s="33"/>
      <c r="H1010" s="135"/>
      <c r="I1010" s="137"/>
      <c r="J1010" s="137"/>
      <c r="K1010" s="33"/>
      <c r="L1010" s="138"/>
      <c r="M1010" s="33"/>
      <c r="N1010" s="135"/>
      <c r="O1010" s="90"/>
      <c r="P1010" s="139"/>
      <c r="Q1010" s="38"/>
      <c r="R1010" s="38"/>
      <c r="S1010" s="38"/>
      <c r="T1010" s="38"/>
      <c r="U1010" s="38"/>
      <c r="V1010" s="38"/>
    </row>
    <row r="1011">
      <c r="A1011" s="134"/>
      <c r="B1011" s="33"/>
      <c r="C1011" s="33"/>
      <c r="D1011" s="135"/>
      <c r="E1011" s="33"/>
      <c r="F1011" s="136"/>
      <c r="G1011" s="33"/>
      <c r="H1011" s="135"/>
      <c r="I1011" s="137"/>
      <c r="J1011" s="137"/>
      <c r="K1011" s="33"/>
      <c r="L1011" s="138"/>
      <c r="M1011" s="33"/>
      <c r="N1011" s="135"/>
      <c r="O1011" s="90"/>
      <c r="P1011" s="139"/>
      <c r="Q1011" s="38"/>
      <c r="R1011" s="38"/>
      <c r="S1011" s="38"/>
      <c r="T1011" s="38"/>
      <c r="U1011" s="38"/>
      <c r="V1011" s="38"/>
    </row>
    <row r="1012">
      <c r="A1012" s="134"/>
      <c r="B1012" s="33"/>
      <c r="C1012" s="33"/>
      <c r="D1012" s="135"/>
      <c r="E1012" s="33"/>
      <c r="F1012" s="136"/>
      <c r="G1012" s="33"/>
      <c r="H1012" s="135"/>
      <c r="I1012" s="137"/>
      <c r="J1012" s="137"/>
      <c r="K1012" s="33"/>
      <c r="L1012" s="138"/>
      <c r="M1012" s="33"/>
      <c r="N1012" s="135"/>
      <c r="O1012" s="90"/>
      <c r="P1012" s="139"/>
      <c r="Q1012" s="38"/>
      <c r="R1012" s="38"/>
      <c r="S1012" s="38"/>
      <c r="T1012" s="38"/>
      <c r="U1012" s="38"/>
      <c r="V1012" s="38"/>
    </row>
    <row r="1013">
      <c r="A1013" s="134"/>
      <c r="B1013" s="33"/>
      <c r="C1013" s="33"/>
      <c r="D1013" s="135"/>
      <c r="E1013" s="33"/>
      <c r="F1013" s="136"/>
      <c r="G1013" s="33"/>
      <c r="H1013" s="135"/>
      <c r="I1013" s="137"/>
      <c r="J1013" s="137"/>
      <c r="K1013" s="33"/>
      <c r="L1013" s="138"/>
      <c r="M1013" s="33"/>
      <c r="N1013" s="135"/>
      <c r="O1013" s="90"/>
      <c r="P1013" s="139"/>
      <c r="Q1013" s="38"/>
      <c r="R1013" s="38"/>
      <c r="S1013" s="38"/>
      <c r="T1013" s="38"/>
      <c r="U1013" s="38"/>
      <c r="V1013" s="38"/>
    </row>
    <row r="1014">
      <c r="A1014" s="134"/>
      <c r="B1014" s="33"/>
      <c r="C1014" s="33"/>
      <c r="D1014" s="135"/>
      <c r="E1014" s="33"/>
      <c r="F1014" s="136"/>
      <c r="G1014" s="33"/>
      <c r="H1014" s="135"/>
      <c r="I1014" s="137"/>
      <c r="J1014" s="137"/>
      <c r="K1014" s="33"/>
      <c r="L1014" s="138"/>
      <c r="M1014" s="33"/>
      <c r="N1014" s="135"/>
      <c r="O1014" s="90"/>
      <c r="P1014" s="139"/>
      <c r="Q1014" s="38"/>
      <c r="R1014" s="38"/>
      <c r="S1014" s="38"/>
      <c r="T1014" s="38"/>
      <c r="U1014" s="38"/>
      <c r="V1014" s="38"/>
    </row>
    <row r="1015">
      <c r="A1015" s="134"/>
      <c r="B1015" s="33"/>
      <c r="C1015" s="33"/>
      <c r="D1015" s="135"/>
      <c r="E1015" s="33"/>
      <c r="F1015" s="136"/>
      <c r="G1015" s="33"/>
      <c r="H1015" s="135"/>
      <c r="I1015" s="137"/>
      <c r="J1015" s="137"/>
      <c r="K1015" s="33"/>
      <c r="L1015" s="138"/>
      <c r="M1015" s="33"/>
      <c r="N1015" s="135"/>
      <c r="O1015" s="90"/>
      <c r="P1015" s="139"/>
      <c r="Q1015" s="38"/>
      <c r="R1015" s="38"/>
      <c r="S1015" s="38"/>
      <c r="T1015" s="38"/>
      <c r="U1015" s="38"/>
      <c r="V1015" s="38"/>
    </row>
    <row r="1016">
      <c r="A1016" s="134"/>
      <c r="B1016" s="33"/>
      <c r="C1016" s="33"/>
      <c r="D1016" s="135"/>
      <c r="E1016" s="33"/>
      <c r="F1016" s="136"/>
      <c r="G1016" s="33"/>
      <c r="H1016" s="135"/>
      <c r="I1016" s="137"/>
      <c r="J1016" s="137"/>
      <c r="K1016" s="33"/>
      <c r="L1016" s="138"/>
      <c r="M1016" s="33"/>
      <c r="N1016" s="135"/>
      <c r="O1016" s="90"/>
      <c r="P1016" s="139"/>
      <c r="Q1016" s="38"/>
      <c r="R1016" s="38"/>
      <c r="S1016" s="38"/>
      <c r="T1016" s="38"/>
      <c r="U1016" s="38"/>
      <c r="V1016" s="38"/>
    </row>
    <row r="1017">
      <c r="A1017" s="134"/>
      <c r="B1017" s="33"/>
      <c r="C1017" s="33"/>
      <c r="D1017" s="135"/>
      <c r="E1017" s="33"/>
      <c r="F1017" s="136"/>
      <c r="G1017" s="33"/>
      <c r="H1017" s="135"/>
      <c r="I1017" s="137"/>
      <c r="J1017" s="137"/>
      <c r="K1017" s="33"/>
      <c r="L1017" s="138"/>
      <c r="M1017" s="33"/>
      <c r="N1017" s="135"/>
      <c r="O1017" s="90"/>
      <c r="P1017" s="139"/>
      <c r="Q1017" s="38"/>
      <c r="R1017" s="38"/>
      <c r="S1017" s="38"/>
      <c r="T1017" s="38"/>
      <c r="U1017" s="38"/>
      <c r="V1017" s="38"/>
    </row>
    <row r="1018">
      <c r="A1018" s="134"/>
      <c r="B1018" s="33"/>
      <c r="C1018" s="33"/>
      <c r="D1018" s="135"/>
      <c r="E1018" s="33"/>
      <c r="F1018" s="136"/>
      <c r="G1018" s="33"/>
      <c r="H1018" s="135"/>
      <c r="I1018" s="137"/>
      <c r="J1018" s="137"/>
      <c r="K1018" s="33"/>
      <c r="L1018" s="138"/>
      <c r="M1018" s="33"/>
      <c r="N1018" s="135"/>
      <c r="O1018" s="90"/>
      <c r="P1018" s="139"/>
      <c r="Q1018" s="38"/>
      <c r="R1018" s="38"/>
      <c r="S1018" s="38"/>
      <c r="T1018" s="38"/>
      <c r="U1018" s="38"/>
      <c r="V1018" s="38"/>
    </row>
    <row r="1019">
      <c r="A1019" s="134"/>
      <c r="B1019" s="33"/>
      <c r="C1019" s="33"/>
      <c r="D1019" s="135"/>
      <c r="E1019" s="33"/>
      <c r="F1019" s="136"/>
      <c r="G1019" s="33"/>
      <c r="H1019" s="135"/>
      <c r="I1019" s="137"/>
      <c r="J1019" s="137"/>
      <c r="K1019" s="33"/>
      <c r="L1019" s="138"/>
      <c r="M1019" s="33"/>
      <c r="N1019" s="135"/>
      <c r="O1019" s="90"/>
      <c r="P1019" s="139"/>
      <c r="Q1019" s="38"/>
      <c r="R1019" s="38"/>
      <c r="S1019" s="38"/>
      <c r="T1019" s="38"/>
      <c r="U1019" s="38"/>
      <c r="V1019" s="38"/>
    </row>
    <row r="1020">
      <c r="A1020" s="134"/>
      <c r="B1020" s="33"/>
      <c r="C1020" s="33"/>
      <c r="D1020" s="135"/>
      <c r="E1020" s="33"/>
      <c r="F1020" s="136"/>
      <c r="G1020" s="33"/>
      <c r="H1020" s="135"/>
      <c r="I1020" s="137"/>
      <c r="J1020" s="137"/>
      <c r="K1020" s="33"/>
      <c r="L1020" s="138"/>
      <c r="M1020" s="33"/>
      <c r="N1020" s="135"/>
      <c r="O1020" s="90"/>
      <c r="P1020" s="139"/>
      <c r="Q1020" s="38"/>
      <c r="R1020" s="38"/>
      <c r="S1020" s="38"/>
      <c r="T1020" s="38"/>
      <c r="U1020" s="38"/>
      <c r="V1020" s="38"/>
    </row>
    <row r="1021">
      <c r="A1021" s="134"/>
      <c r="B1021" s="33"/>
      <c r="C1021" s="33"/>
      <c r="D1021" s="135"/>
      <c r="E1021" s="33"/>
      <c r="F1021" s="136"/>
      <c r="G1021" s="33"/>
      <c r="H1021" s="135"/>
      <c r="I1021" s="137"/>
      <c r="J1021" s="137"/>
      <c r="K1021" s="33"/>
      <c r="L1021" s="138"/>
      <c r="M1021" s="33"/>
      <c r="N1021" s="135"/>
      <c r="O1021" s="90"/>
      <c r="P1021" s="139"/>
      <c r="Q1021" s="38"/>
      <c r="R1021" s="38"/>
      <c r="S1021" s="38"/>
      <c r="T1021" s="38"/>
      <c r="U1021" s="38"/>
      <c r="V1021" s="38"/>
    </row>
    <row r="1022">
      <c r="A1022" s="134"/>
      <c r="B1022" s="33"/>
      <c r="C1022" s="33"/>
      <c r="D1022" s="135"/>
      <c r="E1022" s="33"/>
      <c r="F1022" s="136"/>
      <c r="G1022" s="33"/>
      <c r="H1022" s="135"/>
      <c r="I1022" s="137"/>
      <c r="J1022" s="137"/>
      <c r="K1022" s="33"/>
      <c r="L1022" s="138"/>
      <c r="M1022" s="33"/>
      <c r="N1022" s="135"/>
      <c r="O1022" s="90"/>
      <c r="P1022" s="139"/>
      <c r="Q1022" s="38"/>
      <c r="R1022" s="38"/>
      <c r="S1022" s="38"/>
      <c r="T1022" s="38"/>
      <c r="U1022" s="38"/>
      <c r="V1022" s="38"/>
    </row>
    <row r="1023">
      <c r="A1023" s="134"/>
      <c r="B1023" s="33"/>
      <c r="C1023" s="33"/>
      <c r="D1023" s="135"/>
      <c r="E1023" s="33"/>
      <c r="F1023" s="136"/>
      <c r="G1023" s="33"/>
      <c r="H1023" s="135"/>
      <c r="I1023" s="137"/>
      <c r="J1023" s="137"/>
      <c r="K1023" s="33"/>
      <c r="L1023" s="138"/>
      <c r="M1023" s="33"/>
      <c r="N1023" s="135"/>
      <c r="O1023" s="90"/>
      <c r="P1023" s="139"/>
      <c r="Q1023" s="38"/>
      <c r="R1023" s="38"/>
      <c r="S1023" s="38"/>
      <c r="T1023" s="38"/>
      <c r="U1023" s="38"/>
      <c r="V1023" s="38"/>
    </row>
    <row r="1024">
      <c r="A1024" s="134"/>
      <c r="B1024" s="33"/>
      <c r="C1024" s="33"/>
      <c r="D1024" s="135"/>
      <c r="E1024" s="33"/>
      <c r="F1024" s="136"/>
      <c r="G1024" s="33"/>
      <c r="H1024" s="135"/>
      <c r="I1024" s="137"/>
      <c r="J1024" s="137"/>
      <c r="K1024" s="33"/>
      <c r="L1024" s="138"/>
      <c r="M1024" s="33"/>
      <c r="N1024" s="135"/>
      <c r="O1024" s="90"/>
      <c r="P1024" s="139"/>
      <c r="Q1024" s="38"/>
      <c r="R1024" s="38"/>
      <c r="S1024" s="38"/>
      <c r="T1024" s="38"/>
      <c r="U1024" s="38"/>
      <c r="V1024" s="38"/>
    </row>
    <row r="1025">
      <c r="A1025" s="134"/>
      <c r="B1025" s="33"/>
      <c r="C1025" s="33"/>
      <c r="D1025" s="135"/>
      <c r="E1025" s="33"/>
      <c r="F1025" s="136"/>
      <c r="G1025" s="33"/>
      <c r="H1025" s="135"/>
      <c r="I1025" s="137"/>
      <c r="J1025" s="137"/>
      <c r="K1025" s="33"/>
      <c r="L1025" s="138"/>
      <c r="M1025" s="33"/>
      <c r="N1025" s="135"/>
      <c r="O1025" s="90"/>
      <c r="P1025" s="139"/>
      <c r="Q1025" s="38"/>
      <c r="R1025" s="38"/>
      <c r="S1025" s="38"/>
      <c r="T1025" s="38"/>
      <c r="U1025" s="38"/>
      <c r="V1025" s="38"/>
    </row>
    <row r="1026">
      <c r="A1026" s="134"/>
      <c r="B1026" s="33"/>
      <c r="C1026" s="33"/>
      <c r="D1026" s="135"/>
      <c r="E1026" s="33"/>
      <c r="F1026" s="136"/>
      <c r="G1026" s="33"/>
      <c r="H1026" s="135"/>
      <c r="I1026" s="137"/>
      <c r="J1026" s="137"/>
      <c r="K1026" s="33"/>
      <c r="L1026" s="138"/>
      <c r="M1026" s="33"/>
      <c r="N1026" s="135"/>
      <c r="O1026" s="90"/>
      <c r="P1026" s="139"/>
      <c r="Q1026" s="38"/>
      <c r="R1026" s="38"/>
      <c r="S1026" s="38"/>
      <c r="T1026" s="38"/>
      <c r="U1026" s="38"/>
      <c r="V1026" s="38"/>
    </row>
    <row r="1027">
      <c r="A1027" s="134"/>
      <c r="B1027" s="33"/>
      <c r="C1027" s="33"/>
      <c r="D1027" s="135"/>
      <c r="E1027" s="33"/>
      <c r="F1027" s="136"/>
      <c r="G1027" s="33"/>
      <c r="H1027" s="135"/>
      <c r="I1027" s="137"/>
      <c r="J1027" s="137"/>
      <c r="K1027" s="33"/>
      <c r="L1027" s="138"/>
      <c r="M1027" s="33"/>
      <c r="N1027" s="135"/>
      <c r="O1027" s="90"/>
      <c r="P1027" s="139"/>
      <c r="Q1027" s="38"/>
      <c r="R1027" s="38"/>
      <c r="S1027" s="38"/>
      <c r="T1027" s="38"/>
      <c r="U1027" s="38"/>
      <c r="V1027" s="38"/>
    </row>
    <row r="1028">
      <c r="A1028" s="134"/>
      <c r="B1028" s="33"/>
      <c r="C1028" s="33"/>
      <c r="D1028" s="135"/>
      <c r="E1028" s="33"/>
      <c r="F1028" s="136"/>
      <c r="G1028" s="33"/>
      <c r="H1028" s="135"/>
      <c r="I1028" s="137"/>
      <c r="J1028" s="137"/>
      <c r="K1028" s="33"/>
      <c r="L1028" s="138"/>
      <c r="M1028" s="33"/>
      <c r="N1028" s="135"/>
      <c r="O1028" s="90"/>
      <c r="P1028" s="139"/>
      <c r="Q1028" s="38"/>
      <c r="R1028" s="38"/>
      <c r="S1028" s="38"/>
      <c r="T1028" s="38"/>
      <c r="U1028" s="38"/>
      <c r="V1028" s="38"/>
    </row>
    <row r="1029">
      <c r="A1029" s="134"/>
      <c r="B1029" s="33"/>
      <c r="C1029" s="33"/>
      <c r="D1029" s="135"/>
      <c r="E1029" s="33"/>
      <c r="F1029" s="136"/>
      <c r="G1029" s="33"/>
      <c r="H1029" s="135"/>
      <c r="I1029" s="137"/>
      <c r="J1029" s="137"/>
      <c r="K1029" s="33"/>
      <c r="L1029" s="138"/>
      <c r="M1029" s="33"/>
      <c r="N1029" s="135"/>
      <c r="O1029" s="90"/>
      <c r="P1029" s="139"/>
      <c r="Q1029" s="38"/>
      <c r="R1029" s="38"/>
      <c r="S1029" s="38"/>
      <c r="T1029" s="38"/>
      <c r="U1029" s="38"/>
      <c r="V1029" s="38"/>
    </row>
    <row r="1030">
      <c r="A1030" s="134"/>
      <c r="B1030" s="33"/>
      <c r="C1030" s="33"/>
      <c r="D1030" s="135"/>
      <c r="E1030" s="33"/>
      <c r="F1030" s="136"/>
      <c r="G1030" s="33"/>
      <c r="H1030" s="135"/>
      <c r="I1030" s="137"/>
      <c r="J1030" s="137"/>
      <c r="K1030" s="33"/>
      <c r="L1030" s="138"/>
      <c r="M1030" s="33"/>
      <c r="N1030" s="135"/>
      <c r="O1030" s="90"/>
      <c r="P1030" s="139"/>
      <c r="Q1030" s="38"/>
      <c r="R1030" s="38"/>
      <c r="S1030" s="38"/>
      <c r="T1030" s="38"/>
      <c r="U1030" s="38"/>
      <c r="V1030" s="38"/>
    </row>
    <row r="1031">
      <c r="A1031" s="134"/>
      <c r="B1031" s="33"/>
      <c r="C1031" s="33"/>
      <c r="D1031" s="135"/>
      <c r="E1031" s="33"/>
      <c r="F1031" s="136"/>
      <c r="G1031" s="33"/>
      <c r="H1031" s="135"/>
      <c r="I1031" s="137"/>
      <c r="J1031" s="137"/>
      <c r="K1031" s="33"/>
      <c r="L1031" s="138"/>
      <c r="M1031" s="33"/>
      <c r="N1031" s="135"/>
      <c r="O1031" s="90"/>
      <c r="P1031" s="139"/>
      <c r="Q1031" s="38"/>
      <c r="R1031" s="38"/>
      <c r="S1031" s="38"/>
      <c r="T1031" s="38"/>
      <c r="U1031" s="38"/>
      <c r="V1031" s="38"/>
    </row>
    <row r="1032">
      <c r="A1032" s="134"/>
      <c r="B1032" s="33"/>
      <c r="C1032" s="33"/>
      <c r="D1032" s="135"/>
      <c r="E1032" s="33"/>
      <c r="F1032" s="136"/>
      <c r="G1032" s="33"/>
      <c r="H1032" s="135"/>
      <c r="I1032" s="137"/>
      <c r="J1032" s="137"/>
      <c r="K1032" s="33"/>
      <c r="L1032" s="138"/>
      <c r="M1032" s="33"/>
      <c r="N1032" s="135"/>
      <c r="O1032" s="90"/>
      <c r="P1032" s="139"/>
      <c r="Q1032" s="38"/>
      <c r="R1032" s="38"/>
      <c r="S1032" s="38"/>
      <c r="T1032" s="38"/>
      <c r="U1032" s="38"/>
      <c r="V1032" s="38"/>
    </row>
    <row r="1033">
      <c r="A1033" s="134"/>
      <c r="B1033" s="33"/>
      <c r="C1033" s="33"/>
      <c r="D1033" s="135"/>
      <c r="E1033" s="33"/>
      <c r="F1033" s="136"/>
      <c r="G1033" s="33"/>
      <c r="H1033" s="135"/>
      <c r="I1033" s="137"/>
      <c r="J1033" s="137"/>
      <c r="K1033" s="33"/>
      <c r="L1033" s="138"/>
      <c r="M1033" s="33"/>
      <c r="N1033" s="135"/>
      <c r="O1033" s="90"/>
      <c r="P1033" s="139"/>
      <c r="Q1033" s="38"/>
      <c r="R1033" s="38"/>
      <c r="S1033" s="38"/>
      <c r="T1033" s="38"/>
      <c r="U1033" s="38"/>
      <c r="V1033" s="38"/>
    </row>
    <row r="1034">
      <c r="A1034" s="134"/>
      <c r="B1034" s="33"/>
      <c r="C1034" s="33"/>
      <c r="D1034" s="135"/>
      <c r="E1034" s="33"/>
      <c r="F1034" s="136"/>
      <c r="G1034" s="33"/>
      <c r="H1034" s="135"/>
      <c r="I1034" s="137"/>
      <c r="J1034" s="137"/>
      <c r="K1034" s="33"/>
      <c r="L1034" s="138"/>
      <c r="M1034" s="33"/>
      <c r="N1034" s="135"/>
      <c r="O1034" s="90"/>
      <c r="P1034" s="139"/>
      <c r="Q1034" s="38"/>
      <c r="R1034" s="38"/>
      <c r="S1034" s="38"/>
      <c r="T1034" s="38"/>
      <c r="U1034" s="38"/>
      <c r="V1034" s="38"/>
    </row>
    <row r="1035">
      <c r="A1035" s="134"/>
      <c r="B1035" s="33"/>
      <c r="C1035" s="33"/>
      <c r="D1035" s="135"/>
      <c r="E1035" s="33"/>
      <c r="F1035" s="136"/>
      <c r="G1035" s="33"/>
      <c r="H1035" s="135"/>
      <c r="I1035" s="137"/>
      <c r="J1035" s="137"/>
      <c r="K1035" s="33"/>
      <c r="L1035" s="138"/>
      <c r="M1035" s="33"/>
      <c r="N1035" s="135"/>
      <c r="O1035" s="90"/>
      <c r="P1035" s="139"/>
      <c r="Q1035" s="38"/>
      <c r="R1035" s="38"/>
      <c r="S1035" s="38"/>
      <c r="T1035" s="38"/>
      <c r="U1035" s="38"/>
      <c r="V1035" s="38"/>
    </row>
    <row r="1036">
      <c r="A1036" s="134"/>
      <c r="B1036" s="33"/>
      <c r="C1036" s="33"/>
      <c r="D1036" s="135"/>
      <c r="E1036" s="33"/>
      <c r="F1036" s="136"/>
      <c r="G1036" s="33"/>
      <c r="H1036" s="135"/>
      <c r="I1036" s="137"/>
      <c r="J1036" s="137"/>
      <c r="K1036" s="33"/>
      <c r="L1036" s="138"/>
      <c r="M1036" s="33"/>
      <c r="N1036" s="135"/>
      <c r="O1036" s="90"/>
      <c r="P1036" s="139"/>
      <c r="Q1036" s="38"/>
      <c r="R1036" s="38"/>
      <c r="S1036" s="38"/>
      <c r="T1036" s="38"/>
      <c r="U1036" s="38"/>
      <c r="V1036" s="38"/>
    </row>
    <row r="1037">
      <c r="A1037" s="134"/>
      <c r="B1037" s="33"/>
      <c r="C1037" s="33"/>
      <c r="D1037" s="135"/>
      <c r="E1037" s="33"/>
      <c r="F1037" s="136"/>
      <c r="G1037" s="33"/>
      <c r="H1037" s="135"/>
      <c r="I1037" s="137"/>
      <c r="J1037" s="137"/>
      <c r="K1037" s="33"/>
      <c r="L1037" s="138"/>
      <c r="M1037" s="33"/>
      <c r="N1037" s="135"/>
      <c r="O1037" s="90"/>
      <c r="P1037" s="139"/>
      <c r="Q1037" s="38"/>
      <c r="R1037" s="38"/>
      <c r="S1037" s="38"/>
      <c r="T1037" s="38"/>
      <c r="U1037" s="38"/>
      <c r="V1037" s="38"/>
    </row>
    <row r="1038">
      <c r="A1038" s="134"/>
      <c r="B1038" s="33"/>
      <c r="C1038" s="33"/>
      <c r="D1038" s="135"/>
      <c r="E1038" s="33"/>
      <c r="F1038" s="136"/>
      <c r="G1038" s="33"/>
      <c r="H1038" s="135"/>
      <c r="I1038" s="137"/>
      <c r="J1038" s="137"/>
      <c r="K1038" s="33"/>
      <c r="L1038" s="138"/>
      <c r="M1038" s="33"/>
      <c r="N1038" s="135"/>
      <c r="O1038" s="90"/>
      <c r="P1038" s="139"/>
      <c r="Q1038" s="38"/>
      <c r="R1038" s="38"/>
      <c r="S1038" s="38"/>
      <c r="T1038" s="38"/>
      <c r="U1038" s="38"/>
      <c r="V1038" s="38"/>
    </row>
    <row r="1039">
      <c r="A1039" s="134"/>
      <c r="B1039" s="33"/>
      <c r="C1039" s="33"/>
      <c r="D1039" s="135"/>
      <c r="E1039" s="33"/>
      <c r="F1039" s="136"/>
      <c r="G1039" s="33"/>
      <c r="H1039" s="135"/>
      <c r="I1039" s="137"/>
      <c r="J1039" s="137"/>
      <c r="K1039" s="33"/>
      <c r="L1039" s="138"/>
      <c r="M1039" s="33"/>
      <c r="N1039" s="135"/>
      <c r="O1039" s="90"/>
      <c r="P1039" s="139"/>
      <c r="Q1039" s="38"/>
      <c r="R1039" s="38"/>
      <c r="S1039" s="38"/>
      <c r="T1039" s="38"/>
      <c r="U1039" s="38"/>
      <c r="V1039" s="38"/>
    </row>
    <row r="1040">
      <c r="A1040" s="134"/>
      <c r="B1040" s="33"/>
      <c r="C1040" s="33"/>
      <c r="D1040" s="135"/>
      <c r="E1040" s="33"/>
      <c r="F1040" s="136"/>
      <c r="G1040" s="33"/>
      <c r="H1040" s="135"/>
      <c r="I1040" s="137"/>
      <c r="J1040" s="137"/>
      <c r="K1040" s="33"/>
      <c r="L1040" s="138"/>
      <c r="M1040" s="33"/>
      <c r="N1040" s="135"/>
      <c r="O1040" s="90"/>
      <c r="P1040" s="139"/>
      <c r="Q1040" s="38"/>
      <c r="R1040" s="38"/>
      <c r="S1040" s="38"/>
      <c r="T1040" s="38"/>
      <c r="U1040" s="38"/>
      <c r="V1040" s="38"/>
    </row>
    <row r="1041">
      <c r="A1041" s="134"/>
      <c r="B1041" s="33"/>
      <c r="C1041" s="33"/>
      <c r="D1041" s="135"/>
      <c r="E1041" s="33"/>
      <c r="F1041" s="136"/>
      <c r="G1041" s="33"/>
      <c r="H1041" s="135"/>
      <c r="I1041" s="137"/>
      <c r="J1041" s="137"/>
      <c r="K1041" s="33"/>
      <c r="L1041" s="138"/>
      <c r="M1041" s="33"/>
      <c r="N1041" s="135"/>
      <c r="O1041" s="90"/>
      <c r="P1041" s="139"/>
      <c r="Q1041" s="38"/>
      <c r="R1041" s="38"/>
      <c r="S1041" s="38"/>
      <c r="T1041" s="38"/>
      <c r="U1041" s="38"/>
      <c r="V1041" s="38"/>
    </row>
    <row r="1042">
      <c r="A1042" s="134"/>
      <c r="B1042" s="33"/>
      <c r="C1042" s="33"/>
      <c r="D1042" s="135"/>
      <c r="E1042" s="33"/>
      <c r="F1042" s="136"/>
      <c r="G1042" s="33"/>
      <c r="H1042" s="135"/>
      <c r="I1042" s="137"/>
      <c r="J1042" s="137"/>
      <c r="K1042" s="33"/>
      <c r="L1042" s="138"/>
      <c r="M1042" s="33"/>
      <c r="N1042" s="135"/>
      <c r="O1042" s="90"/>
      <c r="P1042" s="139"/>
      <c r="Q1042" s="38"/>
      <c r="R1042" s="38"/>
      <c r="S1042" s="38"/>
      <c r="T1042" s="38"/>
      <c r="U1042" s="38"/>
      <c r="V1042" s="38"/>
    </row>
    <row r="1043">
      <c r="A1043" s="134"/>
      <c r="B1043" s="33"/>
      <c r="C1043" s="33"/>
      <c r="D1043" s="135"/>
      <c r="E1043" s="33"/>
      <c r="F1043" s="136"/>
      <c r="G1043" s="33"/>
      <c r="H1043" s="135"/>
      <c r="I1043" s="137"/>
      <c r="J1043" s="137"/>
      <c r="K1043" s="33"/>
      <c r="L1043" s="138"/>
      <c r="M1043" s="33"/>
      <c r="N1043" s="135"/>
      <c r="O1043" s="90"/>
      <c r="P1043" s="139"/>
      <c r="Q1043" s="38"/>
      <c r="R1043" s="38"/>
      <c r="S1043" s="38"/>
      <c r="T1043" s="38"/>
      <c r="U1043" s="38"/>
      <c r="V1043" s="38"/>
    </row>
    <row r="1044">
      <c r="A1044" s="134"/>
      <c r="B1044" s="33"/>
      <c r="C1044" s="33"/>
      <c r="D1044" s="135"/>
      <c r="E1044" s="33"/>
      <c r="F1044" s="136"/>
      <c r="G1044" s="33"/>
      <c r="H1044" s="135"/>
      <c r="I1044" s="137"/>
      <c r="J1044" s="137"/>
      <c r="K1044" s="33"/>
      <c r="L1044" s="138"/>
      <c r="M1044" s="33"/>
      <c r="N1044" s="135"/>
      <c r="O1044" s="90"/>
      <c r="P1044" s="139"/>
      <c r="Q1044" s="38"/>
      <c r="R1044" s="38"/>
      <c r="S1044" s="38"/>
      <c r="T1044" s="38"/>
      <c r="U1044" s="38"/>
      <c r="V1044" s="38"/>
    </row>
    <row r="1045">
      <c r="A1045" s="134"/>
      <c r="B1045" s="33"/>
      <c r="C1045" s="33"/>
      <c r="D1045" s="135"/>
      <c r="E1045" s="33"/>
      <c r="F1045" s="136"/>
      <c r="G1045" s="33"/>
      <c r="H1045" s="135"/>
      <c r="I1045" s="137"/>
      <c r="J1045" s="137"/>
      <c r="K1045" s="33"/>
      <c r="L1045" s="138"/>
      <c r="M1045" s="33"/>
      <c r="N1045" s="135"/>
      <c r="O1045" s="90"/>
      <c r="P1045" s="139"/>
      <c r="Q1045" s="38"/>
      <c r="R1045" s="38"/>
      <c r="S1045" s="38"/>
      <c r="T1045" s="38"/>
      <c r="U1045" s="38"/>
      <c r="V1045" s="38"/>
    </row>
    <row r="1046">
      <c r="A1046" s="134"/>
      <c r="B1046" s="33"/>
      <c r="C1046" s="33"/>
      <c r="D1046" s="135"/>
      <c r="E1046" s="33"/>
      <c r="F1046" s="136"/>
      <c r="G1046" s="33"/>
      <c r="H1046" s="135"/>
      <c r="I1046" s="137"/>
      <c r="J1046" s="137"/>
      <c r="K1046" s="33"/>
      <c r="L1046" s="138"/>
      <c r="M1046" s="33"/>
      <c r="N1046" s="135"/>
      <c r="O1046" s="90"/>
      <c r="P1046" s="139"/>
      <c r="Q1046" s="38"/>
      <c r="R1046" s="38"/>
      <c r="S1046" s="38"/>
      <c r="T1046" s="38"/>
      <c r="U1046" s="38"/>
      <c r="V1046" s="38"/>
    </row>
    <row r="1047">
      <c r="A1047" s="134"/>
      <c r="B1047" s="33"/>
      <c r="C1047" s="33"/>
      <c r="D1047" s="135"/>
      <c r="E1047" s="33"/>
      <c r="F1047" s="136"/>
      <c r="G1047" s="33"/>
      <c r="H1047" s="135"/>
      <c r="I1047" s="137"/>
      <c r="J1047" s="137"/>
      <c r="K1047" s="33"/>
      <c r="L1047" s="138"/>
      <c r="M1047" s="33"/>
      <c r="N1047" s="135"/>
      <c r="O1047" s="90"/>
      <c r="P1047" s="139"/>
      <c r="Q1047" s="38"/>
      <c r="R1047" s="38"/>
      <c r="S1047" s="38"/>
      <c r="T1047" s="38"/>
      <c r="U1047" s="38"/>
      <c r="V1047" s="38"/>
    </row>
    <row r="1048">
      <c r="A1048" s="134"/>
      <c r="B1048" s="33"/>
      <c r="C1048" s="33"/>
      <c r="D1048" s="135"/>
      <c r="E1048" s="33"/>
      <c r="F1048" s="136"/>
      <c r="G1048" s="33"/>
      <c r="H1048" s="135"/>
      <c r="I1048" s="137"/>
      <c r="J1048" s="137"/>
      <c r="K1048" s="33"/>
      <c r="L1048" s="138"/>
      <c r="M1048" s="33"/>
      <c r="N1048" s="135"/>
      <c r="O1048" s="90"/>
      <c r="P1048" s="139"/>
      <c r="Q1048" s="38"/>
      <c r="R1048" s="38"/>
      <c r="S1048" s="38"/>
      <c r="T1048" s="38"/>
      <c r="U1048" s="38"/>
      <c r="V1048" s="38"/>
    </row>
    <row r="1049">
      <c r="A1049" s="134"/>
      <c r="B1049" s="33"/>
      <c r="C1049" s="33"/>
      <c r="D1049" s="135"/>
      <c r="E1049" s="33"/>
      <c r="F1049" s="136"/>
      <c r="G1049" s="33"/>
      <c r="H1049" s="135"/>
      <c r="I1049" s="137"/>
      <c r="J1049" s="137"/>
      <c r="K1049" s="33"/>
      <c r="L1049" s="138"/>
      <c r="M1049" s="33"/>
      <c r="N1049" s="135"/>
      <c r="O1049" s="90"/>
      <c r="P1049" s="139"/>
      <c r="Q1049" s="38"/>
      <c r="R1049" s="38"/>
      <c r="S1049" s="38"/>
      <c r="T1049" s="38"/>
      <c r="U1049" s="38"/>
      <c r="V1049" s="38"/>
    </row>
    <row r="1050">
      <c r="A1050" s="134"/>
      <c r="B1050" s="33"/>
      <c r="C1050" s="33"/>
      <c r="D1050" s="135"/>
      <c r="E1050" s="33"/>
      <c r="F1050" s="136"/>
      <c r="G1050" s="33"/>
      <c r="H1050" s="135"/>
      <c r="I1050" s="137"/>
      <c r="J1050" s="137"/>
      <c r="K1050" s="33"/>
      <c r="L1050" s="138"/>
      <c r="M1050" s="33"/>
      <c r="N1050" s="135"/>
      <c r="O1050" s="90"/>
      <c r="P1050" s="139"/>
      <c r="Q1050" s="38"/>
      <c r="R1050" s="38"/>
      <c r="S1050" s="38"/>
      <c r="T1050" s="38"/>
      <c r="U1050" s="38"/>
      <c r="V1050" s="38"/>
    </row>
    <row r="1051">
      <c r="A1051" s="134"/>
      <c r="B1051" s="33"/>
      <c r="C1051" s="33"/>
      <c r="D1051" s="135"/>
      <c r="E1051" s="33"/>
      <c r="F1051" s="136"/>
      <c r="G1051" s="33"/>
      <c r="H1051" s="135"/>
      <c r="I1051" s="137"/>
      <c r="J1051" s="137"/>
      <c r="K1051" s="33"/>
      <c r="L1051" s="138"/>
      <c r="M1051" s="33"/>
      <c r="N1051" s="135"/>
      <c r="O1051" s="90"/>
      <c r="P1051" s="139"/>
      <c r="Q1051" s="38"/>
      <c r="R1051" s="38"/>
      <c r="S1051" s="38"/>
      <c r="T1051" s="38"/>
      <c r="U1051" s="38"/>
      <c r="V1051" s="38"/>
    </row>
    <row r="1052">
      <c r="A1052" s="134"/>
      <c r="B1052" s="33"/>
      <c r="C1052" s="33"/>
      <c r="D1052" s="135"/>
      <c r="E1052" s="33"/>
      <c r="F1052" s="136"/>
      <c r="G1052" s="33"/>
      <c r="H1052" s="135"/>
      <c r="I1052" s="137"/>
      <c r="J1052" s="137"/>
      <c r="K1052" s="33"/>
      <c r="L1052" s="138"/>
      <c r="M1052" s="33"/>
      <c r="N1052" s="135"/>
      <c r="O1052" s="90"/>
      <c r="P1052" s="139"/>
      <c r="Q1052" s="38"/>
      <c r="R1052" s="38"/>
      <c r="S1052" s="38"/>
      <c r="T1052" s="38"/>
      <c r="U1052" s="38"/>
      <c r="V1052" s="38"/>
    </row>
    <row r="1053">
      <c r="A1053" s="134"/>
      <c r="B1053" s="33"/>
      <c r="C1053" s="33"/>
      <c r="D1053" s="135"/>
      <c r="E1053" s="33"/>
      <c r="F1053" s="136"/>
      <c r="G1053" s="33"/>
      <c r="H1053" s="135"/>
      <c r="I1053" s="137"/>
      <c r="J1053" s="137"/>
      <c r="K1053" s="33"/>
      <c r="L1053" s="138"/>
      <c r="M1053" s="33"/>
      <c r="N1053" s="135"/>
      <c r="O1053" s="90"/>
      <c r="P1053" s="139"/>
      <c r="Q1053" s="38"/>
      <c r="R1053" s="38"/>
      <c r="S1053" s="38"/>
      <c r="T1053" s="38"/>
      <c r="U1053" s="38"/>
      <c r="V1053" s="38"/>
    </row>
    <row r="1054">
      <c r="A1054" s="134"/>
      <c r="B1054" s="33"/>
      <c r="C1054" s="33"/>
      <c r="D1054" s="135"/>
      <c r="E1054" s="33"/>
      <c r="F1054" s="136"/>
      <c r="G1054" s="33"/>
      <c r="H1054" s="135"/>
      <c r="I1054" s="137"/>
      <c r="J1054" s="137"/>
      <c r="K1054" s="33"/>
      <c r="L1054" s="138"/>
      <c r="M1054" s="33"/>
      <c r="N1054" s="135"/>
      <c r="O1054" s="90"/>
      <c r="P1054" s="139"/>
      <c r="Q1054" s="38"/>
      <c r="R1054" s="38"/>
      <c r="S1054" s="38"/>
      <c r="T1054" s="38"/>
      <c r="U1054" s="38"/>
      <c r="V1054" s="38"/>
    </row>
    <row r="1055">
      <c r="A1055" s="134"/>
      <c r="B1055" s="33"/>
      <c r="C1055" s="33"/>
      <c r="D1055" s="135"/>
      <c r="E1055" s="33"/>
      <c r="F1055" s="136"/>
      <c r="G1055" s="33"/>
      <c r="H1055" s="135"/>
      <c r="I1055" s="137"/>
      <c r="J1055" s="137"/>
      <c r="K1055" s="33"/>
      <c r="L1055" s="138"/>
      <c r="M1055" s="33"/>
      <c r="N1055" s="135"/>
      <c r="O1055" s="90"/>
      <c r="P1055" s="139"/>
      <c r="Q1055" s="38"/>
      <c r="R1055" s="38"/>
      <c r="S1055" s="38"/>
      <c r="T1055" s="38"/>
      <c r="U1055" s="38"/>
      <c r="V1055" s="38"/>
    </row>
    <row r="1056">
      <c r="A1056" s="134"/>
      <c r="B1056" s="33"/>
      <c r="C1056" s="33"/>
      <c r="D1056" s="135"/>
      <c r="E1056" s="33"/>
      <c r="F1056" s="136"/>
      <c r="G1056" s="33"/>
      <c r="H1056" s="135"/>
      <c r="I1056" s="137"/>
      <c r="J1056" s="137"/>
      <c r="K1056" s="33"/>
      <c r="L1056" s="138"/>
      <c r="M1056" s="33"/>
      <c r="N1056" s="135"/>
      <c r="O1056" s="90"/>
      <c r="P1056" s="139"/>
      <c r="Q1056" s="38"/>
      <c r="R1056" s="38"/>
      <c r="S1056" s="38"/>
      <c r="T1056" s="38"/>
      <c r="U1056" s="38"/>
      <c r="V1056" s="38"/>
    </row>
    <row r="1057">
      <c r="A1057" s="134"/>
      <c r="B1057" s="33"/>
      <c r="C1057" s="33"/>
      <c r="D1057" s="135"/>
      <c r="E1057" s="33"/>
      <c r="F1057" s="136"/>
      <c r="G1057" s="33"/>
      <c r="H1057" s="135"/>
      <c r="I1057" s="137"/>
      <c r="J1057" s="137"/>
      <c r="K1057" s="33"/>
      <c r="L1057" s="138"/>
      <c r="M1057" s="33"/>
      <c r="N1057" s="135"/>
      <c r="O1057" s="90"/>
      <c r="P1057" s="139"/>
      <c r="Q1057" s="38"/>
      <c r="R1057" s="38"/>
      <c r="S1057" s="38"/>
      <c r="T1057" s="38"/>
      <c r="U1057" s="38"/>
      <c r="V1057" s="38"/>
    </row>
    <row r="1058">
      <c r="A1058" s="134"/>
      <c r="B1058" s="33"/>
      <c r="C1058" s="33"/>
      <c r="D1058" s="135"/>
      <c r="E1058" s="33"/>
      <c r="F1058" s="136"/>
      <c r="G1058" s="33"/>
      <c r="H1058" s="135"/>
      <c r="I1058" s="137"/>
      <c r="J1058" s="137"/>
      <c r="K1058" s="33"/>
      <c r="L1058" s="138"/>
      <c r="M1058" s="33"/>
      <c r="N1058" s="135"/>
      <c r="O1058" s="90"/>
      <c r="P1058" s="139"/>
      <c r="Q1058" s="38"/>
      <c r="R1058" s="38"/>
      <c r="S1058" s="38"/>
      <c r="T1058" s="38"/>
      <c r="U1058" s="38"/>
      <c r="V1058" s="38"/>
    </row>
    <row r="1059">
      <c r="A1059" s="134"/>
      <c r="B1059" s="33"/>
      <c r="C1059" s="33"/>
      <c r="D1059" s="135"/>
      <c r="E1059" s="33"/>
      <c r="F1059" s="136"/>
      <c r="G1059" s="33"/>
      <c r="H1059" s="135"/>
      <c r="I1059" s="137"/>
      <c r="J1059" s="137"/>
      <c r="K1059" s="33"/>
      <c r="L1059" s="138"/>
      <c r="M1059" s="33"/>
      <c r="N1059" s="135"/>
      <c r="O1059" s="90"/>
      <c r="P1059" s="139"/>
      <c r="Q1059" s="38"/>
      <c r="R1059" s="38"/>
      <c r="S1059" s="38"/>
      <c r="T1059" s="38"/>
      <c r="U1059" s="38"/>
      <c r="V1059" s="38"/>
    </row>
    <row r="1060">
      <c r="A1060" s="134"/>
      <c r="B1060" s="33"/>
      <c r="C1060" s="33"/>
      <c r="D1060" s="135"/>
      <c r="E1060" s="33"/>
      <c r="F1060" s="136"/>
      <c r="G1060" s="33"/>
      <c r="H1060" s="135"/>
      <c r="I1060" s="137"/>
      <c r="J1060" s="137"/>
      <c r="K1060" s="33"/>
      <c r="L1060" s="138"/>
      <c r="M1060" s="33"/>
      <c r="N1060" s="135"/>
      <c r="O1060" s="90"/>
      <c r="P1060" s="139"/>
      <c r="Q1060" s="38"/>
      <c r="R1060" s="38"/>
      <c r="S1060" s="38"/>
      <c r="T1060" s="38"/>
      <c r="U1060" s="38"/>
      <c r="V1060" s="38"/>
    </row>
    <row r="1061">
      <c r="A1061" s="134"/>
      <c r="B1061" s="33"/>
      <c r="C1061" s="33"/>
      <c r="D1061" s="135"/>
      <c r="E1061" s="33"/>
      <c r="F1061" s="136"/>
      <c r="G1061" s="33"/>
      <c r="H1061" s="135"/>
      <c r="I1061" s="137"/>
      <c r="J1061" s="137"/>
      <c r="K1061" s="33"/>
      <c r="L1061" s="138"/>
      <c r="M1061" s="33"/>
      <c r="N1061" s="135"/>
      <c r="O1061" s="90"/>
      <c r="P1061" s="139"/>
      <c r="Q1061" s="38"/>
      <c r="R1061" s="38"/>
      <c r="S1061" s="38"/>
      <c r="T1061" s="38"/>
      <c r="U1061" s="38"/>
      <c r="V1061" s="38"/>
    </row>
    <row r="1062">
      <c r="A1062" s="134"/>
      <c r="B1062" s="33"/>
      <c r="C1062" s="33"/>
      <c r="D1062" s="135"/>
      <c r="E1062" s="33"/>
      <c r="F1062" s="136"/>
      <c r="G1062" s="33"/>
      <c r="H1062" s="135"/>
      <c r="I1062" s="137"/>
      <c r="J1062" s="137"/>
      <c r="K1062" s="33"/>
      <c r="L1062" s="138"/>
      <c r="M1062" s="33"/>
      <c r="N1062" s="135"/>
      <c r="O1062" s="90"/>
      <c r="P1062" s="139"/>
      <c r="Q1062" s="38"/>
      <c r="R1062" s="38"/>
      <c r="S1062" s="38"/>
      <c r="T1062" s="38"/>
      <c r="U1062" s="38"/>
      <c r="V1062" s="38"/>
    </row>
    <row r="1063">
      <c r="A1063" s="134"/>
      <c r="B1063" s="33"/>
      <c r="C1063" s="33"/>
      <c r="D1063" s="135"/>
      <c r="E1063" s="33"/>
      <c r="F1063" s="136"/>
      <c r="G1063" s="33"/>
      <c r="H1063" s="135"/>
      <c r="I1063" s="137"/>
      <c r="J1063" s="137"/>
      <c r="K1063" s="33"/>
      <c r="L1063" s="138"/>
      <c r="M1063" s="33"/>
      <c r="N1063" s="135"/>
      <c r="O1063" s="90"/>
      <c r="P1063" s="139"/>
      <c r="Q1063" s="38"/>
      <c r="R1063" s="38"/>
      <c r="S1063" s="38"/>
      <c r="T1063" s="38"/>
      <c r="U1063" s="38"/>
      <c r="V1063" s="38"/>
    </row>
    <row r="1064">
      <c r="A1064" s="134"/>
      <c r="B1064" s="33"/>
      <c r="C1064" s="33"/>
      <c r="D1064" s="135"/>
      <c r="E1064" s="33"/>
      <c r="F1064" s="136"/>
      <c r="G1064" s="33"/>
      <c r="H1064" s="135"/>
      <c r="I1064" s="137"/>
      <c r="J1064" s="137"/>
      <c r="K1064" s="33"/>
      <c r="L1064" s="138"/>
      <c r="M1064" s="33"/>
      <c r="N1064" s="135"/>
      <c r="O1064" s="90"/>
      <c r="P1064" s="139"/>
      <c r="Q1064" s="38"/>
      <c r="R1064" s="38"/>
      <c r="S1064" s="38"/>
      <c r="T1064" s="38"/>
      <c r="U1064" s="38"/>
      <c r="V1064" s="38"/>
    </row>
    <row r="1065">
      <c r="A1065" s="134"/>
      <c r="B1065" s="33"/>
      <c r="C1065" s="33"/>
      <c r="D1065" s="135"/>
      <c r="E1065" s="33"/>
      <c r="F1065" s="136"/>
      <c r="G1065" s="33"/>
      <c r="H1065" s="135"/>
      <c r="I1065" s="137"/>
      <c r="J1065" s="137"/>
      <c r="K1065" s="33"/>
      <c r="L1065" s="138"/>
      <c r="M1065" s="33"/>
      <c r="N1065" s="135"/>
      <c r="O1065" s="90"/>
      <c r="P1065" s="139"/>
      <c r="Q1065" s="38"/>
      <c r="R1065" s="38"/>
      <c r="S1065" s="38"/>
      <c r="T1065" s="38"/>
      <c r="U1065" s="38"/>
      <c r="V1065" s="38"/>
    </row>
    <row r="1066">
      <c r="A1066" s="134"/>
      <c r="B1066" s="33"/>
      <c r="C1066" s="33"/>
      <c r="D1066" s="135"/>
      <c r="E1066" s="33"/>
      <c r="F1066" s="136"/>
      <c r="G1066" s="33"/>
      <c r="H1066" s="135"/>
      <c r="I1066" s="137"/>
      <c r="J1066" s="137"/>
      <c r="K1066" s="33"/>
      <c r="L1066" s="138"/>
      <c r="M1066" s="33"/>
      <c r="N1066" s="135"/>
      <c r="O1066" s="90"/>
      <c r="P1066" s="139"/>
      <c r="Q1066" s="38"/>
      <c r="R1066" s="38"/>
      <c r="S1066" s="38"/>
      <c r="T1066" s="38"/>
      <c r="U1066" s="38"/>
      <c r="V1066" s="38"/>
    </row>
    <row r="1067">
      <c r="A1067" s="134"/>
      <c r="B1067" s="33"/>
      <c r="C1067" s="33"/>
      <c r="D1067" s="135"/>
      <c r="E1067" s="33"/>
      <c r="F1067" s="136"/>
      <c r="G1067" s="33"/>
      <c r="H1067" s="135"/>
      <c r="I1067" s="137"/>
      <c r="J1067" s="137"/>
      <c r="K1067" s="33"/>
      <c r="L1067" s="138"/>
      <c r="M1067" s="33"/>
      <c r="N1067" s="135"/>
      <c r="O1067" s="90"/>
      <c r="P1067" s="139"/>
      <c r="Q1067" s="38"/>
      <c r="R1067" s="38"/>
      <c r="S1067" s="38"/>
      <c r="T1067" s="38"/>
      <c r="U1067" s="38"/>
      <c r="V1067" s="38"/>
    </row>
    <row r="1068">
      <c r="A1068" s="134"/>
      <c r="B1068" s="33"/>
      <c r="C1068" s="33"/>
      <c r="D1068" s="135"/>
      <c r="E1068" s="33"/>
      <c r="F1068" s="136"/>
      <c r="G1068" s="33"/>
      <c r="H1068" s="135"/>
      <c r="I1068" s="137"/>
      <c r="J1068" s="137"/>
      <c r="K1068" s="33"/>
      <c r="L1068" s="138"/>
      <c r="M1068" s="33"/>
      <c r="N1068" s="135"/>
      <c r="O1068" s="90"/>
      <c r="P1068" s="139"/>
      <c r="Q1068" s="38"/>
      <c r="R1068" s="38"/>
      <c r="S1068" s="38"/>
      <c r="T1068" s="38"/>
      <c r="U1068" s="38"/>
      <c r="V1068" s="38"/>
    </row>
    <row r="1069">
      <c r="A1069" s="134"/>
      <c r="B1069" s="33"/>
      <c r="C1069" s="33"/>
      <c r="D1069" s="135"/>
      <c r="E1069" s="33"/>
      <c r="F1069" s="136"/>
      <c r="G1069" s="33"/>
      <c r="H1069" s="135"/>
      <c r="I1069" s="137"/>
      <c r="J1069" s="137"/>
      <c r="K1069" s="33"/>
      <c r="L1069" s="138"/>
      <c r="M1069" s="33"/>
      <c r="N1069" s="135"/>
      <c r="O1069" s="90"/>
      <c r="P1069" s="139"/>
      <c r="Q1069" s="38"/>
      <c r="R1069" s="38"/>
      <c r="S1069" s="38"/>
      <c r="T1069" s="38"/>
      <c r="U1069" s="38"/>
      <c r="V1069" s="38"/>
    </row>
    <row r="1070">
      <c r="A1070" s="134"/>
      <c r="B1070" s="33"/>
      <c r="C1070" s="33"/>
      <c r="D1070" s="135"/>
      <c r="E1070" s="33"/>
      <c r="F1070" s="136"/>
      <c r="G1070" s="33"/>
      <c r="H1070" s="135"/>
      <c r="I1070" s="137"/>
      <c r="J1070" s="137"/>
      <c r="K1070" s="33"/>
      <c r="L1070" s="138"/>
      <c r="M1070" s="33"/>
      <c r="N1070" s="135"/>
      <c r="O1070" s="90"/>
      <c r="P1070" s="139"/>
      <c r="Q1070" s="38"/>
      <c r="R1070" s="38"/>
      <c r="S1070" s="38"/>
      <c r="T1070" s="38"/>
      <c r="U1070" s="38"/>
      <c r="V1070" s="38"/>
    </row>
    <row r="1071">
      <c r="A1071" s="134"/>
      <c r="B1071" s="33"/>
      <c r="C1071" s="33"/>
      <c r="D1071" s="135"/>
      <c r="E1071" s="33"/>
      <c r="F1071" s="136"/>
      <c r="G1071" s="33"/>
      <c r="H1071" s="135"/>
      <c r="I1071" s="137"/>
      <c r="J1071" s="137"/>
      <c r="K1071" s="33"/>
      <c r="L1071" s="138"/>
      <c r="M1071" s="33"/>
      <c r="N1071" s="135"/>
      <c r="O1071" s="90"/>
      <c r="P1071" s="139"/>
      <c r="Q1071" s="38"/>
      <c r="R1071" s="38"/>
      <c r="S1071" s="38"/>
      <c r="T1071" s="38"/>
      <c r="U1071" s="38"/>
      <c r="V1071" s="38"/>
    </row>
    <row r="1072">
      <c r="A1072" s="134"/>
      <c r="B1072" s="33"/>
      <c r="C1072" s="33"/>
      <c r="D1072" s="135"/>
      <c r="E1072" s="33"/>
      <c r="F1072" s="136"/>
      <c r="G1072" s="33"/>
      <c r="H1072" s="135"/>
      <c r="I1072" s="137"/>
      <c r="J1072" s="137"/>
      <c r="K1072" s="33"/>
      <c r="L1072" s="138"/>
      <c r="M1072" s="33"/>
      <c r="N1072" s="135"/>
      <c r="O1072" s="90"/>
      <c r="P1072" s="139"/>
      <c r="Q1072" s="38"/>
      <c r="R1072" s="38"/>
      <c r="S1072" s="38"/>
      <c r="T1072" s="38"/>
      <c r="U1072" s="38"/>
      <c r="V1072" s="38"/>
    </row>
    <row r="1073">
      <c r="A1073" s="134"/>
      <c r="B1073" s="33"/>
      <c r="C1073" s="33"/>
      <c r="D1073" s="135"/>
      <c r="E1073" s="33"/>
      <c r="F1073" s="136"/>
      <c r="G1073" s="33"/>
      <c r="H1073" s="135"/>
      <c r="I1073" s="137"/>
      <c r="J1073" s="137"/>
      <c r="K1073" s="33"/>
      <c r="L1073" s="138"/>
      <c r="M1073" s="33"/>
      <c r="N1073" s="135"/>
      <c r="O1073" s="90"/>
      <c r="P1073" s="139"/>
      <c r="Q1073" s="38"/>
      <c r="R1073" s="38"/>
      <c r="S1073" s="38"/>
      <c r="T1073" s="38"/>
      <c r="U1073" s="38"/>
      <c r="V1073" s="38"/>
    </row>
    <row r="1074">
      <c r="A1074" s="134"/>
      <c r="B1074" s="33"/>
      <c r="C1074" s="33"/>
      <c r="D1074" s="135"/>
      <c r="E1074" s="33"/>
      <c r="F1074" s="136"/>
      <c r="G1074" s="33"/>
      <c r="H1074" s="135"/>
      <c r="I1074" s="137"/>
      <c r="J1074" s="137"/>
      <c r="K1074" s="33"/>
      <c r="L1074" s="138"/>
      <c r="M1074" s="33"/>
      <c r="N1074" s="135"/>
      <c r="O1074" s="90"/>
      <c r="P1074" s="139"/>
      <c r="Q1074" s="38"/>
      <c r="R1074" s="38"/>
      <c r="S1074" s="38"/>
      <c r="T1074" s="38"/>
      <c r="U1074" s="38"/>
      <c r="V1074" s="38"/>
    </row>
    <row r="1075">
      <c r="A1075" s="134"/>
      <c r="B1075" s="33"/>
      <c r="C1075" s="33"/>
      <c r="D1075" s="135"/>
      <c r="E1075" s="33"/>
      <c r="F1075" s="136"/>
      <c r="G1075" s="33"/>
      <c r="H1075" s="135"/>
      <c r="I1075" s="137"/>
      <c r="J1075" s="137"/>
      <c r="K1075" s="33"/>
      <c r="L1075" s="138"/>
      <c r="M1075" s="33"/>
      <c r="N1075" s="135"/>
      <c r="O1075" s="90"/>
      <c r="P1075" s="139"/>
      <c r="Q1075" s="38"/>
      <c r="R1075" s="38"/>
      <c r="S1075" s="38"/>
      <c r="T1075" s="38"/>
      <c r="U1075" s="38"/>
      <c r="V1075" s="38"/>
    </row>
    <row r="1076">
      <c r="A1076" s="134"/>
      <c r="B1076" s="33"/>
      <c r="C1076" s="33"/>
      <c r="D1076" s="135"/>
      <c r="E1076" s="33"/>
      <c r="F1076" s="136"/>
      <c r="G1076" s="33"/>
      <c r="H1076" s="135"/>
      <c r="I1076" s="137"/>
      <c r="J1076" s="137"/>
      <c r="K1076" s="33"/>
      <c r="L1076" s="138"/>
      <c r="M1076" s="33"/>
      <c r="N1076" s="135"/>
      <c r="O1076" s="90"/>
      <c r="P1076" s="139"/>
      <c r="Q1076" s="38"/>
      <c r="R1076" s="38"/>
      <c r="S1076" s="38"/>
      <c r="T1076" s="38"/>
      <c r="U1076" s="38"/>
      <c r="V1076" s="38"/>
    </row>
    <row r="1077">
      <c r="A1077" s="134"/>
      <c r="B1077" s="33"/>
      <c r="C1077" s="33"/>
      <c r="D1077" s="135"/>
      <c r="E1077" s="33"/>
      <c r="F1077" s="136"/>
      <c r="G1077" s="33"/>
      <c r="H1077" s="135"/>
      <c r="I1077" s="137"/>
      <c r="J1077" s="137"/>
      <c r="K1077" s="33"/>
      <c r="L1077" s="138"/>
      <c r="M1077" s="33"/>
      <c r="N1077" s="135"/>
      <c r="O1077" s="90"/>
      <c r="P1077" s="139"/>
      <c r="Q1077" s="38"/>
      <c r="R1077" s="38"/>
      <c r="S1077" s="38"/>
      <c r="T1077" s="38"/>
      <c r="U1077" s="38"/>
      <c r="V1077" s="38"/>
    </row>
    <row r="1078">
      <c r="A1078" s="134"/>
      <c r="B1078" s="33"/>
      <c r="C1078" s="33"/>
      <c r="D1078" s="135"/>
      <c r="E1078" s="33"/>
      <c r="F1078" s="136"/>
      <c r="G1078" s="33"/>
      <c r="H1078" s="135"/>
      <c r="I1078" s="137"/>
      <c r="J1078" s="137"/>
      <c r="K1078" s="33"/>
      <c r="L1078" s="138"/>
      <c r="M1078" s="33"/>
      <c r="N1078" s="135"/>
      <c r="O1078" s="90"/>
      <c r="P1078" s="139"/>
      <c r="Q1078" s="38"/>
      <c r="R1078" s="38"/>
      <c r="S1078" s="38"/>
      <c r="T1078" s="38"/>
      <c r="U1078" s="38"/>
      <c r="V1078" s="38"/>
    </row>
    <row r="1079">
      <c r="A1079" s="134"/>
      <c r="B1079" s="33"/>
      <c r="C1079" s="33"/>
      <c r="D1079" s="135"/>
      <c r="E1079" s="33"/>
      <c r="F1079" s="136"/>
      <c r="G1079" s="33"/>
      <c r="H1079" s="135"/>
      <c r="I1079" s="137"/>
      <c r="J1079" s="137"/>
      <c r="K1079" s="33"/>
      <c r="L1079" s="138"/>
      <c r="M1079" s="33"/>
      <c r="N1079" s="135"/>
      <c r="O1079" s="90"/>
      <c r="P1079" s="139"/>
      <c r="Q1079" s="38"/>
      <c r="R1079" s="38"/>
      <c r="S1079" s="38"/>
      <c r="T1079" s="38"/>
      <c r="U1079" s="38"/>
      <c r="V1079" s="38"/>
    </row>
    <row r="1080">
      <c r="A1080" s="134"/>
      <c r="B1080" s="33"/>
      <c r="C1080" s="33"/>
      <c r="D1080" s="135"/>
      <c r="E1080" s="33"/>
      <c r="F1080" s="136"/>
      <c r="G1080" s="33"/>
      <c r="H1080" s="135"/>
      <c r="I1080" s="137"/>
      <c r="J1080" s="137"/>
      <c r="K1080" s="33"/>
      <c r="L1080" s="138"/>
      <c r="M1080" s="33"/>
      <c r="N1080" s="135"/>
      <c r="O1080" s="90"/>
      <c r="P1080" s="139"/>
      <c r="Q1080" s="38"/>
      <c r="R1080" s="38"/>
      <c r="S1080" s="38"/>
      <c r="T1080" s="38"/>
      <c r="U1080" s="38"/>
      <c r="V1080" s="38"/>
    </row>
    <row r="1081">
      <c r="A1081" s="134"/>
      <c r="B1081" s="33"/>
      <c r="C1081" s="33"/>
      <c r="D1081" s="135"/>
      <c r="E1081" s="33"/>
      <c r="F1081" s="136"/>
      <c r="G1081" s="33"/>
      <c r="H1081" s="135"/>
      <c r="I1081" s="137"/>
      <c r="J1081" s="137"/>
      <c r="K1081" s="33"/>
      <c r="L1081" s="138"/>
      <c r="M1081" s="33"/>
      <c r="N1081" s="135"/>
      <c r="O1081" s="90"/>
      <c r="P1081" s="139"/>
      <c r="Q1081" s="38"/>
      <c r="R1081" s="38"/>
      <c r="S1081" s="38"/>
      <c r="T1081" s="38"/>
      <c r="U1081" s="38"/>
      <c r="V1081" s="38"/>
    </row>
    <row r="1082">
      <c r="A1082" s="134"/>
      <c r="B1082" s="33"/>
      <c r="C1082" s="33"/>
      <c r="D1082" s="135"/>
      <c r="E1082" s="33"/>
      <c r="F1082" s="136"/>
      <c r="G1082" s="33"/>
      <c r="H1082" s="135"/>
      <c r="I1082" s="137"/>
      <c r="J1082" s="137"/>
      <c r="K1082" s="33"/>
      <c r="L1082" s="138"/>
      <c r="M1082" s="33"/>
      <c r="N1082" s="135"/>
      <c r="O1082" s="90"/>
      <c r="P1082" s="139"/>
      <c r="Q1082" s="38"/>
      <c r="R1082" s="38"/>
      <c r="S1082" s="38"/>
      <c r="T1082" s="38"/>
      <c r="U1082" s="38"/>
      <c r="V1082" s="38"/>
    </row>
    <row r="1083">
      <c r="A1083" s="134"/>
      <c r="B1083" s="33"/>
      <c r="C1083" s="33"/>
      <c r="D1083" s="135"/>
      <c r="E1083" s="33"/>
      <c r="F1083" s="136"/>
      <c r="G1083" s="33"/>
      <c r="H1083" s="135"/>
      <c r="I1083" s="137"/>
      <c r="J1083" s="137"/>
      <c r="K1083" s="33"/>
      <c r="L1083" s="138"/>
      <c r="M1083" s="33"/>
      <c r="N1083" s="135"/>
      <c r="O1083" s="90"/>
      <c r="P1083" s="139"/>
      <c r="Q1083" s="38"/>
      <c r="R1083" s="38"/>
      <c r="S1083" s="38"/>
      <c r="T1083" s="38"/>
      <c r="U1083" s="38"/>
      <c r="V1083" s="38"/>
    </row>
    <row r="1084">
      <c r="A1084" s="134"/>
      <c r="B1084" s="33"/>
      <c r="C1084" s="33"/>
      <c r="D1084" s="135"/>
      <c r="E1084" s="33"/>
      <c r="F1084" s="136"/>
      <c r="G1084" s="33"/>
      <c r="H1084" s="135"/>
      <c r="I1084" s="137"/>
      <c r="J1084" s="137"/>
      <c r="K1084" s="33"/>
      <c r="L1084" s="138"/>
      <c r="M1084" s="33"/>
      <c r="N1084" s="135"/>
      <c r="O1084" s="90"/>
      <c r="P1084" s="139"/>
      <c r="Q1084" s="38"/>
      <c r="R1084" s="38"/>
      <c r="S1084" s="38"/>
      <c r="T1084" s="38"/>
      <c r="U1084" s="38"/>
      <c r="V1084" s="38"/>
    </row>
    <row r="1085">
      <c r="A1085" s="134"/>
      <c r="B1085" s="33"/>
      <c r="C1085" s="33"/>
      <c r="D1085" s="135"/>
      <c r="E1085" s="33"/>
      <c r="F1085" s="136"/>
      <c r="G1085" s="33"/>
      <c r="H1085" s="135"/>
      <c r="I1085" s="137"/>
      <c r="J1085" s="137"/>
      <c r="K1085" s="33"/>
      <c r="L1085" s="138"/>
      <c r="M1085" s="33"/>
      <c r="N1085" s="135"/>
      <c r="O1085" s="90"/>
      <c r="P1085" s="139"/>
      <c r="Q1085" s="38"/>
      <c r="R1085" s="38"/>
      <c r="S1085" s="38"/>
      <c r="T1085" s="38"/>
      <c r="U1085" s="38"/>
      <c r="V1085" s="38"/>
    </row>
    <row r="1086">
      <c r="A1086" s="134"/>
      <c r="B1086" s="33"/>
      <c r="C1086" s="33"/>
      <c r="D1086" s="135"/>
      <c r="E1086" s="33"/>
      <c r="F1086" s="136"/>
      <c r="G1086" s="33"/>
      <c r="H1086" s="135"/>
      <c r="I1086" s="137"/>
      <c r="J1086" s="137"/>
      <c r="K1086" s="33"/>
      <c r="L1086" s="138"/>
      <c r="M1086" s="33"/>
      <c r="N1086" s="135"/>
      <c r="O1086" s="90"/>
      <c r="P1086" s="139"/>
      <c r="Q1086" s="38"/>
      <c r="R1086" s="38"/>
      <c r="S1086" s="38"/>
      <c r="T1086" s="38"/>
      <c r="U1086" s="38"/>
      <c r="V1086" s="38"/>
    </row>
    <row r="1087">
      <c r="A1087" s="134"/>
      <c r="B1087" s="33"/>
      <c r="C1087" s="33"/>
      <c r="D1087" s="135"/>
      <c r="E1087" s="33"/>
      <c r="F1087" s="136"/>
      <c r="G1087" s="33"/>
      <c r="H1087" s="135"/>
      <c r="I1087" s="137"/>
      <c r="J1087" s="137"/>
      <c r="K1087" s="33"/>
      <c r="L1087" s="138"/>
      <c r="M1087" s="33"/>
      <c r="N1087" s="135"/>
      <c r="O1087" s="90"/>
      <c r="P1087" s="139"/>
      <c r="Q1087" s="38"/>
      <c r="R1087" s="38"/>
      <c r="S1087" s="38"/>
      <c r="T1087" s="38"/>
      <c r="U1087" s="38"/>
      <c r="V1087" s="38"/>
    </row>
    <row r="1088">
      <c r="A1088" s="134"/>
      <c r="B1088" s="33"/>
      <c r="C1088" s="33"/>
      <c r="D1088" s="135"/>
      <c r="E1088" s="33"/>
      <c r="F1088" s="136"/>
      <c r="G1088" s="33"/>
      <c r="H1088" s="135"/>
      <c r="I1088" s="137"/>
      <c r="J1088" s="137"/>
      <c r="K1088" s="33"/>
      <c r="L1088" s="138"/>
      <c r="M1088" s="33"/>
      <c r="N1088" s="135"/>
      <c r="O1088" s="90"/>
      <c r="P1088" s="139"/>
      <c r="Q1088" s="38"/>
      <c r="R1088" s="38"/>
      <c r="S1088" s="38"/>
      <c r="T1088" s="38"/>
      <c r="U1088" s="38"/>
      <c r="V1088" s="38"/>
    </row>
    <row r="1089">
      <c r="A1089" s="134"/>
      <c r="B1089" s="33"/>
      <c r="C1089" s="33"/>
      <c r="D1089" s="135"/>
      <c r="E1089" s="33"/>
      <c r="F1089" s="136"/>
      <c r="G1089" s="33"/>
      <c r="H1089" s="135"/>
      <c r="I1089" s="137"/>
      <c r="J1089" s="137"/>
      <c r="K1089" s="33"/>
      <c r="L1089" s="138"/>
      <c r="M1089" s="33"/>
      <c r="N1089" s="135"/>
      <c r="O1089" s="90"/>
      <c r="P1089" s="139"/>
      <c r="Q1089" s="38"/>
      <c r="R1089" s="38"/>
      <c r="S1089" s="38"/>
      <c r="T1089" s="38"/>
      <c r="U1089" s="38"/>
      <c r="V1089" s="38"/>
    </row>
    <row r="1090">
      <c r="A1090" s="134"/>
      <c r="B1090" s="33"/>
      <c r="C1090" s="33"/>
      <c r="D1090" s="135"/>
      <c r="E1090" s="33"/>
      <c r="F1090" s="136"/>
      <c r="G1090" s="33"/>
      <c r="H1090" s="135"/>
      <c r="I1090" s="137"/>
      <c r="J1090" s="137"/>
      <c r="K1090" s="33"/>
      <c r="L1090" s="138"/>
      <c r="M1090" s="33"/>
      <c r="N1090" s="135"/>
      <c r="O1090" s="90"/>
      <c r="P1090" s="139"/>
      <c r="Q1090" s="38"/>
      <c r="R1090" s="38"/>
      <c r="S1090" s="38"/>
      <c r="T1090" s="38"/>
      <c r="U1090" s="38"/>
      <c r="V1090" s="38"/>
    </row>
    <row r="1091">
      <c r="A1091" s="134"/>
      <c r="B1091" s="33"/>
      <c r="C1091" s="33"/>
      <c r="D1091" s="135"/>
      <c r="E1091" s="33"/>
      <c r="F1091" s="136"/>
      <c r="G1091" s="33"/>
      <c r="H1091" s="135"/>
      <c r="I1091" s="137"/>
      <c r="J1091" s="137"/>
      <c r="K1091" s="33"/>
      <c r="L1091" s="138"/>
      <c r="M1091" s="33"/>
      <c r="N1091" s="135"/>
      <c r="O1091" s="90"/>
      <c r="P1091" s="139"/>
      <c r="Q1091" s="38"/>
      <c r="R1091" s="38"/>
      <c r="S1091" s="38"/>
      <c r="T1091" s="38"/>
      <c r="U1091" s="38"/>
      <c r="V1091" s="38"/>
    </row>
    <row r="1092">
      <c r="A1092" s="134"/>
      <c r="B1092" s="33"/>
      <c r="C1092" s="33"/>
      <c r="D1092" s="135"/>
      <c r="E1092" s="33"/>
      <c r="F1092" s="136"/>
      <c r="G1092" s="33"/>
      <c r="H1092" s="135"/>
      <c r="I1092" s="137"/>
      <c r="J1092" s="137"/>
      <c r="K1092" s="33"/>
      <c r="L1092" s="138"/>
      <c r="M1092" s="33"/>
      <c r="N1092" s="135"/>
      <c r="O1092" s="90"/>
      <c r="P1092" s="139"/>
      <c r="Q1092" s="38"/>
      <c r="R1092" s="38"/>
      <c r="S1092" s="38"/>
      <c r="T1092" s="38"/>
      <c r="U1092" s="38"/>
      <c r="V1092" s="38"/>
    </row>
    <row r="1093">
      <c r="A1093" s="134"/>
      <c r="B1093" s="33"/>
      <c r="C1093" s="33"/>
      <c r="D1093" s="135"/>
      <c r="E1093" s="33"/>
      <c r="F1093" s="136"/>
      <c r="G1093" s="33"/>
      <c r="H1093" s="135"/>
      <c r="I1093" s="137"/>
      <c r="J1093" s="137"/>
      <c r="K1093" s="33"/>
      <c r="L1093" s="138"/>
      <c r="M1093" s="33"/>
      <c r="N1093" s="135"/>
      <c r="O1093" s="90"/>
      <c r="P1093" s="139"/>
      <c r="Q1093" s="38"/>
      <c r="R1093" s="38"/>
      <c r="S1093" s="38"/>
      <c r="T1093" s="38"/>
      <c r="U1093" s="38"/>
      <c r="V1093" s="38"/>
    </row>
    <row r="1094">
      <c r="A1094" s="134"/>
      <c r="B1094" s="33"/>
      <c r="C1094" s="33"/>
      <c r="D1094" s="135"/>
      <c r="E1094" s="33"/>
      <c r="F1094" s="136"/>
      <c r="G1094" s="33"/>
      <c r="H1094" s="135"/>
      <c r="I1094" s="137"/>
      <c r="J1094" s="137"/>
      <c r="K1094" s="33"/>
      <c r="L1094" s="138"/>
      <c r="M1094" s="33"/>
      <c r="N1094" s="135"/>
      <c r="O1094" s="90"/>
      <c r="P1094" s="139"/>
      <c r="Q1094" s="38"/>
      <c r="R1094" s="38"/>
      <c r="S1094" s="38"/>
      <c r="T1094" s="38"/>
      <c r="U1094" s="38"/>
      <c r="V1094" s="38"/>
    </row>
    <row r="1095">
      <c r="A1095" s="134"/>
      <c r="B1095" s="33"/>
      <c r="C1095" s="33"/>
      <c r="D1095" s="135"/>
      <c r="E1095" s="33"/>
      <c r="F1095" s="136"/>
      <c r="G1095" s="33"/>
      <c r="H1095" s="135"/>
      <c r="I1095" s="137"/>
      <c r="J1095" s="137"/>
      <c r="K1095" s="33"/>
      <c r="L1095" s="138"/>
      <c r="M1095" s="33"/>
      <c r="N1095" s="135"/>
      <c r="O1095" s="90"/>
      <c r="P1095" s="139"/>
      <c r="Q1095" s="38"/>
      <c r="R1095" s="38"/>
      <c r="S1095" s="38"/>
      <c r="T1095" s="38"/>
      <c r="U1095" s="38"/>
      <c r="V1095" s="38"/>
    </row>
    <row r="1096">
      <c r="A1096" s="134"/>
      <c r="B1096" s="33"/>
      <c r="C1096" s="33"/>
      <c r="D1096" s="135"/>
      <c r="E1096" s="33"/>
      <c r="F1096" s="136"/>
      <c r="G1096" s="33"/>
      <c r="H1096" s="135"/>
      <c r="I1096" s="137"/>
      <c r="J1096" s="137"/>
      <c r="K1096" s="33"/>
      <c r="L1096" s="138"/>
      <c r="M1096" s="33"/>
      <c r="N1096" s="135"/>
      <c r="O1096" s="90"/>
      <c r="P1096" s="139"/>
      <c r="Q1096" s="38"/>
      <c r="R1096" s="38"/>
      <c r="S1096" s="38"/>
      <c r="T1096" s="38"/>
      <c r="U1096" s="38"/>
      <c r="V1096" s="38"/>
    </row>
    <row r="1097">
      <c r="A1097" s="134"/>
      <c r="B1097" s="33"/>
      <c r="C1097" s="33"/>
      <c r="D1097" s="135"/>
      <c r="E1097" s="33"/>
      <c r="F1097" s="136"/>
      <c r="G1097" s="33"/>
      <c r="H1097" s="135"/>
      <c r="I1097" s="137"/>
      <c r="J1097" s="137"/>
      <c r="K1097" s="33"/>
      <c r="L1097" s="138"/>
      <c r="M1097" s="33"/>
      <c r="N1097" s="135"/>
      <c r="O1097" s="90"/>
      <c r="P1097" s="139"/>
      <c r="Q1097" s="38"/>
      <c r="R1097" s="38"/>
      <c r="S1097" s="38"/>
      <c r="T1097" s="38"/>
      <c r="U1097" s="38"/>
      <c r="V1097" s="38"/>
    </row>
    <row r="1098">
      <c r="A1098" s="134"/>
      <c r="B1098" s="33"/>
      <c r="C1098" s="33"/>
      <c r="D1098" s="135"/>
      <c r="E1098" s="33"/>
      <c r="F1098" s="136"/>
      <c r="G1098" s="33"/>
      <c r="H1098" s="135"/>
      <c r="I1098" s="137"/>
      <c r="J1098" s="137"/>
      <c r="K1098" s="33"/>
      <c r="L1098" s="138"/>
      <c r="M1098" s="33"/>
      <c r="N1098" s="135"/>
      <c r="O1098" s="90"/>
      <c r="P1098" s="139"/>
      <c r="Q1098" s="38"/>
      <c r="R1098" s="38"/>
      <c r="S1098" s="38"/>
      <c r="T1098" s="38"/>
      <c r="U1098" s="38"/>
      <c r="V1098" s="38"/>
    </row>
    <row r="1099">
      <c r="A1099" s="134"/>
      <c r="B1099" s="33"/>
      <c r="C1099" s="33"/>
      <c r="D1099" s="135"/>
      <c r="E1099" s="33"/>
      <c r="F1099" s="136"/>
      <c r="G1099" s="33"/>
      <c r="H1099" s="135"/>
      <c r="I1099" s="137"/>
      <c r="J1099" s="137"/>
      <c r="K1099" s="33"/>
      <c r="L1099" s="138"/>
      <c r="M1099" s="33"/>
      <c r="N1099" s="135"/>
      <c r="O1099" s="90"/>
      <c r="P1099" s="139"/>
      <c r="Q1099" s="38"/>
      <c r="R1099" s="38"/>
      <c r="S1099" s="38"/>
      <c r="T1099" s="38"/>
      <c r="U1099" s="38"/>
      <c r="V1099" s="38"/>
    </row>
    <row r="1100">
      <c r="A1100" s="134"/>
      <c r="B1100" s="33"/>
      <c r="C1100" s="33"/>
      <c r="D1100" s="135"/>
      <c r="E1100" s="33"/>
      <c r="F1100" s="136"/>
      <c r="G1100" s="33"/>
      <c r="H1100" s="135"/>
      <c r="I1100" s="137"/>
      <c r="J1100" s="137"/>
      <c r="K1100" s="33"/>
      <c r="L1100" s="138"/>
      <c r="M1100" s="33"/>
      <c r="N1100" s="135"/>
      <c r="O1100" s="90"/>
      <c r="P1100" s="139"/>
      <c r="Q1100" s="38"/>
      <c r="R1100" s="38"/>
      <c r="S1100" s="38"/>
      <c r="T1100" s="38"/>
      <c r="U1100" s="38"/>
      <c r="V1100" s="38"/>
    </row>
    <row r="1101">
      <c r="A1101" s="134"/>
      <c r="B1101" s="33"/>
      <c r="C1101" s="33"/>
      <c r="D1101" s="135"/>
      <c r="E1101" s="33"/>
      <c r="F1101" s="136"/>
      <c r="G1101" s="33"/>
      <c r="H1101" s="135"/>
      <c r="I1101" s="137"/>
      <c r="J1101" s="137"/>
      <c r="K1101" s="33"/>
      <c r="L1101" s="138"/>
      <c r="M1101" s="33"/>
      <c r="N1101" s="135"/>
      <c r="O1101" s="90"/>
      <c r="P1101" s="139"/>
      <c r="Q1101" s="38"/>
      <c r="R1101" s="38"/>
      <c r="S1101" s="38"/>
      <c r="T1101" s="38"/>
      <c r="U1101" s="38"/>
      <c r="V1101" s="38"/>
    </row>
    <row r="1102">
      <c r="A1102" s="134"/>
      <c r="B1102" s="33"/>
      <c r="C1102" s="33"/>
      <c r="D1102" s="135"/>
      <c r="E1102" s="33"/>
      <c r="F1102" s="136"/>
      <c r="G1102" s="33"/>
      <c r="H1102" s="135"/>
      <c r="I1102" s="137"/>
      <c r="J1102" s="137"/>
      <c r="K1102" s="33"/>
      <c r="L1102" s="138"/>
      <c r="M1102" s="33"/>
      <c r="N1102" s="135"/>
      <c r="O1102" s="90"/>
      <c r="P1102" s="139"/>
      <c r="Q1102" s="38"/>
      <c r="R1102" s="38"/>
      <c r="S1102" s="38"/>
      <c r="T1102" s="38"/>
      <c r="U1102" s="38"/>
      <c r="V1102" s="38"/>
    </row>
    <row r="1103">
      <c r="A1103" s="134"/>
      <c r="B1103" s="33"/>
      <c r="C1103" s="33"/>
      <c r="D1103" s="135"/>
      <c r="E1103" s="33"/>
      <c r="F1103" s="136"/>
      <c r="G1103" s="33"/>
      <c r="H1103" s="135"/>
      <c r="I1103" s="137"/>
      <c r="J1103" s="137"/>
      <c r="K1103" s="33"/>
      <c r="L1103" s="138"/>
      <c r="M1103" s="33"/>
      <c r="N1103" s="135"/>
      <c r="O1103" s="90"/>
      <c r="P1103" s="139"/>
      <c r="Q1103" s="38"/>
      <c r="R1103" s="38"/>
      <c r="S1103" s="38"/>
      <c r="T1103" s="38"/>
      <c r="U1103" s="38"/>
      <c r="V1103" s="38"/>
    </row>
    <row r="1104">
      <c r="A1104" s="134"/>
      <c r="B1104" s="33"/>
      <c r="C1104" s="33"/>
      <c r="D1104" s="135"/>
      <c r="E1104" s="33"/>
      <c r="F1104" s="136"/>
      <c r="G1104" s="33"/>
      <c r="H1104" s="135"/>
      <c r="I1104" s="137"/>
      <c r="J1104" s="137"/>
      <c r="K1104" s="33"/>
      <c r="L1104" s="138"/>
      <c r="M1104" s="33"/>
      <c r="N1104" s="135"/>
      <c r="O1104" s="90"/>
      <c r="P1104" s="139"/>
      <c r="Q1104" s="38"/>
      <c r="R1104" s="38"/>
      <c r="S1104" s="38"/>
      <c r="T1104" s="38"/>
      <c r="U1104" s="38"/>
      <c r="V1104" s="38"/>
    </row>
    <row r="1105">
      <c r="A1105" s="134"/>
      <c r="B1105" s="33"/>
      <c r="C1105" s="33"/>
      <c r="D1105" s="135"/>
      <c r="E1105" s="33"/>
      <c r="F1105" s="136"/>
      <c r="G1105" s="33"/>
      <c r="H1105" s="135"/>
      <c r="I1105" s="137"/>
      <c r="J1105" s="137"/>
      <c r="K1105" s="33"/>
      <c r="L1105" s="138"/>
      <c r="M1105" s="33"/>
      <c r="N1105" s="135"/>
      <c r="O1105" s="90"/>
      <c r="P1105" s="139"/>
      <c r="Q1105" s="38"/>
      <c r="R1105" s="38"/>
      <c r="S1105" s="38"/>
      <c r="T1105" s="38"/>
      <c r="U1105" s="38"/>
      <c r="V1105" s="38"/>
    </row>
    <row r="1106">
      <c r="A1106" s="134"/>
      <c r="B1106" s="33"/>
      <c r="C1106" s="33"/>
      <c r="D1106" s="135"/>
      <c r="E1106" s="33"/>
      <c r="F1106" s="136"/>
      <c r="G1106" s="33"/>
      <c r="H1106" s="135"/>
      <c r="I1106" s="137"/>
      <c r="J1106" s="137"/>
      <c r="K1106" s="33"/>
      <c r="L1106" s="138"/>
      <c r="M1106" s="33"/>
      <c r="N1106" s="135"/>
      <c r="O1106" s="90"/>
      <c r="P1106" s="139"/>
      <c r="Q1106" s="38"/>
      <c r="R1106" s="38"/>
      <c r="S1106" s="38"/>
      <c r="T1106" s="38"/>
      <c r="U1106" s="38"/>
      <c r="V1106" s="38"/>
    </row>
    <row r="1107">
      <c r="A1107" s="134"/>
      <c r="B1107" s="33"/>
      <c r="C1107" s="33"/>
      <c r="D1107" s="135"/>
      <c r="E1107" s="33"/>
      <c r="F1107" s="136"/>
      <c r="G1107" s="33"/>
      <c r="H1107" s="135"/>
      <c r="I1107" s="137"/>
      <c r="J1107" s="137"/>
      <c r="K1107" s="33"/>
      <c r="L1107" s="138"/>
      <c r="M1107" s="33"/>
      <c r="N1107" s="135"/>
      <c r="O1107" s="90"/>
      <c r="P1107" s="139"/>
      <c r="Q1107" s="38"/>
      <c r="R1107" s="38"/>
      <c r="S1107" s="38"/>
      <c r="T1107" s="38"/>
      <c r="U1107" s="38"/>
      <c r="V1107" s="38"/>
    </row>
    <row r="1108">
      <c r="A1108" s="134"/>
      <c r="B1108" s="33"/>
      <c r="C1108" s="33"/>
      <c r="D1108" s="135"/>
      <c r="E1108" s="33"/>
      <c r="F1108" s="136"/>
      <c r="G1108" s="33"/>
      <c r="H1108" s="135"/>
      <c r="I1108" s="137"/>
      <c r="J1108" s="137"/>
      <c r="K1108" s="33"/>
      <c r="L1108" s="138"/>
      <c r="M1108" s="33"/>
      <c r="N1108" s="135"/>
      <c r="O1108" s="90"/>
      <c r="P1108" s="139"/>
      <c r="Q1108" s="38"/>
      <c r="R1108" s="38"/>
      <c r="S1108" s="38"/>
      <c r="T1108" s="38"/>
      <c r="U1108" s="38"/>
      <c r="V1108" s="38"/>
    </row>
    <row r="1109">
      <c r="A1109" s="134"/>
      <c r="B1109" s="33"/>
      <c r="C1109" s="33"/>
      <c r="D1109" s="135"/>
      <c r="E1109" s="33"/>
      <c r="F1109" s="136"/>
      <c r="G1109" s="33"/>
      <c r="H1109" s="135"/>
      <c r="I1109" s="137"/>
      <c r="J1109" s="137"/>
      <c r="K1109" s="33"/>
      <c r="L1109" s="138"/>
      <c r="M1109" s="33"/>
      <c r="N1109" s="135"/>
      <c r="O1109" s="90"/>
      <c r="P1109" s="139"/>
      <c r="Q1109" s="38"/>
      <c r="R1109" s="38"/>
      <c r="S1109" s="38"/>
      <c r="T1109" s="38"/>
      <c r="U1109" s="38"/>
      <c r="V1109" s="38"/>
    </row>
    <row r="1110">
      <c r="A1110" s="134"/>
      <c r="B1110" s="33"/>
      <c r="C1110" s="33"/>
      <c r="D1110" s="135"/>
      <c r="E1110" s="33"/>
      <c r="F1110" s="136"/>
      <c r="G1110" s="33"/>
      <c r="H1110" s="135"/>
      <c r="I1110" s="137"/>
      <c r="J1110" s="137"/>
      <c r="K1110" s="33"/>
      <c r="L1110" s="138"/>
      <c r="M1110" s="33"/>
      <c r="N1110" s="135"/>
      <c r="O1110" s="90"/>
      <c r="P1110" s="139"/>
      <c r="Q1110" s="38"/>
      <c r="R1110" s="38"/>
      <c r="S1110" s="38"/>
      <c r="T1110" s="38"/>
      <c r="U1110" s="38"/>
      <c r="V1110" s="38"/>
    </row>
    <row r="1111">
      <c r="A1111" s="134"/>
      <c r="B1111" s="33"/>
      <c r="C1111" s="33"/>
      <c r="D1111" s="135"/>
      <c r="E1111" s="33"/>
      <c r="F1111" s="136"/>
      <c r="G1111" s="33"/>
      <c r="H1111" s="135"/>
      <c r="I1111" s="137"/>
      <c r="J1111" s="137"/>
      <c r="K1111" s="33"/>
      <c r="L1111" s="138"/>
      <c r="M1111" s="33"/>
      <c r="N1111" s="135"/>
      <c r="O1111" s="90"/>
      <c r="P1111" s="139"/>
      <c r="Q1111" s="38"/>
      <c r="R1111" s="38"/>
      <c r="S1111" s="38"/>
      <c r="T1111" s="38"/>
      <c r="U1111" s="38"/>
      <c r="V1111" s="38"/>
    </row>
    <row r="1112">
      <c r="A1112" s="134"/>
      <c r="B1112" s="33"/>
      <c r="C1112" s="33"/>
      <c r="D1112" s="135"/>
      <c r="E1112" s="33"/>
      <c r="F1112" s="136"/>
      <c r="G1112" s="33"/>
      <c r="H1112" s="135"/>
      <c r="I1112" s="137"/>
      <c r="J1112" s="137"/>
      <c r="K1112" s="33"/>
      <c r="L1112" s="138"/>
      <c r="M1112" s="33"/>
      <c r="N1112" s="135"/>
      <c r="O1112" s="90"/>
      <c r="P1112" s="139"/>
      <c r="Q1112" s="38"/>
      <c r="R1112" s="38"/>
      <c r="S1112" s="38"/>
      <c r="T1112" s="38"/>
      <c r="U1112" s="38"/>
      <c r="V1112" s="38"/>
    </row>
    <row r="1113">
      <c r="A1113" s="134"/>
      <c r="B1113" s="33"/>
      <c r="C1113" s="33"/>
      <c r="D1113" s="135"/>
      <c r="E1113" s="33"/>
      <c r="F1113" s="136"/>
      <c r="G1113" s="33"/>
      <c r="H1113" s="135"/>
      <c r="I1113" s="137"/>
      <c r="J1113" s="137"/>
      <c r="K1113" s="33"/>
      <c r="L1113" s="138"/>
      <c r="M1113" s="33"/>
      <c r="N1113" s="135"/>
      <c r="O1113" s="90"/>
      <c r="P1113" s="139"/>
      <c r="Q1113" s="38"/>
      <c r="R1113" s="38"/>
      <c r="S1113" s="38"/>
      <c r="T1113" s="38"/>
      <c r="U1113" s="38"/>
      <c r="V1113" s="38"/>
    </row>
    <row r="1114">
      <c r="A1114" s="134"/>
      <c r="B1114" s="33"/>
      <c r="C1114" s="33"/>
      <c r="D1114" s="135"/>
      <c r="E1114" s="33"/>
      <c r="F1114" s="136"/>
      <c r="G1114" s="33"/>
      <c r="H1114" s="135"/>
      <c r="I1114" s="137"/>
      <c r="J1114" s="137"/>
      <c r="K1114" s="33"/>
      <c r="L1114" s="138"/>
      <c r="M1114" s="33"/>
      <c r="N1114" s="135"/>
      <c r="O1114" s="90"/>
      <c r="P1114" s="139"/>
      <c r="Q1114" s="38"/>
      <c r="R1114" s="38"/>
      <c r="S1114" s="38"/>
      <c r="T1114" s="38"/>
      <c r="U1114" s="38"/>
      <c r="V1114" s="38"/>
    </row>
    <row r="1115">
      <c r="A1115" s="134"/>
      <c r="B1115" s="33"/>
      <c r="C1115" s="33"/>
      <c r="D1115" s="135"/>
      <c r="E1115" s="33"/>
      <c r="F1115" s="136"/>
      <c r="G1115" s="33"/>
      <c r="H1115" s="135"/>
      <c r="I1115" s="137"/>
      <c r="J1115" s="137"/>
      <c r="K1115" s="33"/>
      <c r="L1115" s="138"/>
      <c r="M1115" s="33"/>
      <c r="N1115" s="135"/>
      <c r="O1115" s="90"/>
      <c r="P1115" s="139"/>
      <c r="Q1115" s="38"/>
      <c r="R1115" s="38"/>
      <c r="S1115" s="38"/>
      <c r="T1115" s="38"/>
      <c r="U1115" s="38"/>
      <c r="V1115" s="38"/>
    </row>
    <row r="1116">
      <c r="A1116" s="134"/>
      <c r="B1116" s="33"/>
      <c r="C1116" s="33"/>
      <c r="D1116" s="135"/>
      <c r="E1116" s="33"/>
      <c r="F1116" s="136"/>
      <c r="G1116" s="33"/>
      <c r="H1116" s="135"/>
      <c r="I1116" s="137"/>
      <c r="J1116" s="137"/>
      <c r="K1116" s="33"/>
      <c r="L1116" s="138"/>
      <c r="M1116" s="33"/>
      <c r="N1116" s="135"/>
      <c r="O1116" s="90"/>
      <c r="P1116" s="139"/>
      <c r="Q1116" s="38"/>
      <c r="R1116" s="38"/>
      <c r="S1116" s="38"/>
      <c r="T1116" s="38"/>
      <c r="U1116" s="38"/>
      <c r="V1116" s="38"/>
    </row>
    <row r="1117">
      <c r="A1117" s="134"/>
      <c r="B1117" s="33"/>
      <c r="C1117" s="33"/>
      <c r="D1117" s="135"/>
      <c r="E1117" s="33"/>
      <c r="F1117" s="136"/>
      <c r="G1117" s="33"/>
      <c r="H1117" s="135"/>
      <c r="I1117" s="137"/>
      <c r="J1117" s="137"/>
      <c r="K1117" s="33"/>
      <c r="L1117" s="138"/>
      <c r="M1117" s="33"/>
      <c r="N1117" s="135"/>
      <c r="O1117" s="90"/>
      <c r="P1117" s="139"/>
      <c r="Q1117" s="38"/>
      <c r="R1117" s="38"/>
      <c r="S1117" s="38"/>
      <c r="T1117" s="38"/>
      <c r="U1117" s="38"/>
      <c r="V1117" s="38"/>
    </row>
    <row r="1118">
      <c r="A1118" s="134"/>
      <c r="B1118" s="33"/>
      <c r="C1118" s="33"/>
      <c r="D1118" s="135"/>
      <c r="E1118" s="33"/>
      <c r="F1118" s="136"/>
      <c r="G1118" s="33"/>
      <c r="H1118" s="135"/>
      <c r="I1118" s="137"/>
      <c r="J1118" s="137"/>
      <c r="K1118" s="33"/>
      <c r="L1118" s="138"/>
      <c r="M1118" s="33"/>
      <c r="N1118" s="135"/>
      <c r="O1118" s="90"/>
      <c r="P1118" s="139"/>
      <c r="Q1118" s="38"/>
      <c r="R1118" s="38"/>
      <c r="S1118" s="38"/>
      <c r="T1118" s="38"/>
      <c r="U1118" s="38"/>
      <c r="V1118" s="38"/>
    </row>
    <row r="1119">
      <c r="A1119" s="134"/>
      <c r="B1119" s="33"/>
      <c r="C1119" s="33"/>
      <c r="D1119" s="135"/>
      <c r="E1119" s="33"/>
      <c r="F1119" s="136"/>
      <c r="G1119" s="33"/>
      <c r="H1119" s="135"/>
      <c r="I1119" s="137"/>
      <c r="J1119" s="137"/>
      <c r="K1119" s="33"/>
      <c r="L1119" s="138"/>
      <c r="M1119" s="33"/>
      <c r="N1119" s="135"/>
      <c r="O1119" s="90"/>
      <c r="P1119" s="139"/>
      <c r="Q1119" s="38"/>
      <c r="R1119" s="38"/>
      <c r="S1119" s="38"/>
      <c r="T1119" s="38"/>
      <c r="U1119" s="38"/>
      <c r="V1119" s="38"/>
    </row>
    <row r="1120">
      <c r="A1120" s="134"/>
      <c r="B1120" s="33"/>
      <c r="C1120" s="33"/>
      <c r="D1120" s="135"/>
      <c r="E1120" s="33"/>
      <c r="F1120" s="136"/>
      <c r="G1120" s="33"/>
      <c r="H1120" s="135"/>
      <c r="I1120" s="137"/>
      <c r="J1120" s="137"/>
      <c r="K1120" s="33"/>
      <c r="L1120" s="138"/>
      <c r="M1120" s="33"/>
      <c r="N1120" s="135"/>
      <c r="O1120" s="90"/>
      <c r="P1120" s="139"/>
      <c r="Q1120" s="38"/>
      <c r="R1120" s="38"/>
      <c r="S1120" s="38"/>
      <c r="T1120" s="38"/>
      <c r="U1120" s="38"/>
      <c r="V1120" s="38"/>
    </row>
    <row r="1121">
      <c r="A1121" s="134"/>
      <c r="B1121" s="33"/>
      <c r="C1121" s="33"/>
      <c r="D1121" s="135"/>
      <c r="E1121" s="33"/>
      <c r="F1121" s="136"/>
      <c r="G1121" s="33"/>
      <c r="H1121" s="135"/>
      <c r="I1121" s="137"/>
      <c r="J1121" s="137"/>
      <c r="K1121" s="33"/>
      <c r="L1121" s="138"/>
      <c r="M1121" s="33"/>
      <c r="N1121" s="135"/>
      <c r="O1121" s="90"/>
      <c r="P1121" s="139"/>
      <c r="Q1121" s="38"/>
      <c r="R1121" s="38"/>
      <c r="S1121" s="38"/>
      <c r="T1121" s="38"/>
      <c r="U1121" s="38"/>
      <c r="V1121" s="38"/>
    </row>
    <row r="1122">
      <c r="A1122" s="134"/>
      <c r="B1122" s="33"/>
      <c r="C1122" s="33"/>
      <c r="D1122" s="135"/>
      <c r="E1122" s="33"/>
      <c r="F1122" s="136"/>
      <c r="G1122" s="33"/>
      <c r="H1122" s="135"/>
      <c r="I1122" s="137"/>
      <c r="J1122" s="137"/>
      <c r="K1122" s="33"/>
      <c r="L1122" s="138"/>
      <c r="M1122" s="33"/>
      <c r="N1122" s="135"/>
      <c r="O1122" s="90"/>
      <c r="P1122" s="139"/>
      <c r="Q1122" s="38"/>
      <c r="R1122" s="38"/>
      <c r="S1122" s="38"/>
      <c r="T1122" s="38"/>
      <c r="U1122" s="38"/>
      <c r="V1122" s="38"/>
    </row>
    <row r="1123">
      <c r="A1123" s="134"/>
      <c r="B1123" s="33"/>
      <c r="C1123" s="33"/>
      <c r="D1123" s="135"/>
      <c r="E1123" s="33"/>
      <c r="F1123" s="136"/>
      <c r="G1123" s="33"/>
      <c r="H1123" s="135"/>
      <c r="I1123" s="137"/>
      <c r="J1123" s="137"/>
      <c r="K1123" s="33"/>
      <c r="L1123" s="138"/>
      <c r="M1123" s="33"/>
      <c r="N1123" s="135"/>
      <c r="O1123" s="90"/>
      <c r="P1123" s="139"/>
      <c r="Q1123" s="38"/>
      <c r="R1123" s="38"/>
      <c r="S1123" s="38"/>
      <c r="T1123" s="38"/>
      <c r="U1123" s="38"/>
      <c r="V1123" s="38"/>
    </row>
    <row r="1124">
      <c r="A1124" s="134"/>
      <c r="B1124" s="33"/>
      <c r="C1124" s="33"/>
      <c r="D1124" s="135"/>
      <c r="E1124" s="33"/>
      <c r="F1124" s="136"/>
      <c r="G1124" s="33"/>
      <c r="H1124" s="135"/>
      <c r="I1124" s="137"/>
      <c r="J1124" s="137"/>
      <c r="K1124" s="33"/>
      <c r="L1124" s="138"/>
      <c r="M1124" s="33"/>
      <c r="N1124" s="135"/>
      <c r="O1124" s="90"/>
      <c r="P1124" s="139"/>
      <c r="Q1124" s="38"/>
      <c r="R1124" s="38"/>
      <c r="S1124" s="38"/>
      <c r="T1124" s="38"/>
      <c r="U1124" s="38"/>
      <c r="V1124" s="38"/>
    </row>
    <row r="1125">
      <c r="A1125" s="134"/>
      <c r="B1125" s="33"/>
      <c r="C1125" s="33"/>
      <c r="D1125" s="135"/>
      <c r="E1125" s="33"/>
      <c r="F1125" s="136"/>
      <c r="G1125" s="33"/>
      <c r="H1125" s="135"/>
      <c r="I1125" s="137"/>
      <c r="J1125" s="137"/>
      <c r="K1125" s="33"/>
      <c r="L1125" s="138"/>
      <c r="M1125" s="33"/>
      <c r="N1125" s="135"/>
      <c r="O1125" s="90"/>
      <c r="P1125" s="139"/>
      <c r="Q1125" s="38"/>
      <c r="R1125" s="38"/>
      <c r="S1125" s="38"/>
      <c r="T1125" s="38"/>
      <c r="U1125" s="38"/>
      <c r="V1125" s="38"/>
    </row>
    <row r="1126">
      <c r="A1126" s="134"/>
      <c r="B1126" s="33"/>
      <c r="C1126" s="33"/>
      <c r="D1126" s="135"/>
      <c r="E1126" s="33"/>
      <c r="F1126" s="136"/>
      <c r="G1126" s="33"/>
      <c r="H1126" s="135"/>
      <c r="I1126" s="137"/>
      <c r="J1126" s="137"/>
      <c r="K1126" s="33"/>
      <c r="L1126" s="138"/>
      <c r="M1126" s="33"/>
      <c r="N1126" s="135"/>
      <c r="O1126" s="90"/>
      <c r="P1126" s="139"/>
      <c r="Q1126" s="38"/>
      <c r="R1126" s="38"/>
      <c r="S1126" s="38"/>
      <c r="T1126" s="38"/>
      <c r="U1126" s="38"/>
      <c r="V1126" s="38"/>
    </row>
    <row r="1127">
      <c r="A1127" s="134"/>
      <c r="B1127" s="33"/>
      <c r="C1127" s="33"/>
      <c r="D1127" s="135"/>
      <c r="E1127" s="33"/>
      <c r="F1127" s="136"/>
      <c r="G1127" s="33"/>
      <c r="H1127" s="135"/>
      <c r="I1127" s="137"/>
      <c r="J1127" s="137"/>
      <c r="K1127" s="33"/>
      <c r="L1127" s="138"/>
      <c r="M1127" s="33"/>
      <c r="N1127" s="135"/>
      <c r="O1127" s="90"/>
      <c r="P1127" s="139"/>
      <c r="Q1127" s="38"/>
      <c r="R1127" s="38"/>
      <c r="S1127" s="38"/>
      <c r="T1127" s="38"/>
      <c r="U1127" s="38"/>
      <c r="V1127" s="38"/>
    </row>
    <row r="1128">
      <c r="A1128" s="134"/>
      <c r="B1128" s="33"/>
      <c r="C1128" s="33"/>
      <c r="D1128" s="135"/>
      <c r="E1128" s="33"/>
      <c r="F1128" s="136"/>
      <c r="G1128" s="33"/>
      <c r="H1128" s="135"/>
      <c r="I1128" s="137"/>
      <c r="J1128" s="137"/>
      <c r="K1128" s="33"/>
      <c r="L1128" s="138"/>
      <c r="M1128" s="33"/>
      <c r="N1128" s="135"/>
      <c r="O1128" s="90"/>
      <c r="P1128" s="139"/>
      <c r="Q1128" s="38"/>
      <c r="R1128" s="38"/>
      <c r="S1128" s="38"/>
      <c r="T1128" s="38"/>
      <c r="U1128" s="38"/>
      <c r="V1128" s="38"/>
    </row>
    <row r="1129">
      <c r="A1129" s="134"/>
      <c r="B1129" s="33"/>
      <c r="C1129" s="33"/>
      <c r="D1129" s="135"/>
      <c r="E1129" s="33"/>
      <c r="F1129" s="136"/>
      <c r="G1129" s="33"/>
      <c r="H1129" s="135"/>
      <c r="I1129" s="137"/>
      <c r="J1129" s="137"/>
      <c r="K1129" s="33"/>
      <c r="L1129" s="138"/>
      <c r="M1129" s="33"/>
      <c r="N1129" s="135"/>
      <c r="O1129" s="90"/>
      <c r="P1129" s="139"/>
      <c r="Q1129" s="38"/>
      <c r="R1129" s="38"/>
      <c r="S1129" s="38"/>
      <c r="T1129" s="38"/>
      <c r="U1129" s="38"/>
      <c r="V1129" s="38"/>
    </row>
    <row r="1130">
      <c r="A1130" s="134"/>
      <c r="B1130" s="33"/>
      <c r="C1130" s="33"/>
      <c r="D1130" s="135"/>
      <c r="E1130" s="33"/>
      <c r="F1130" s="136"/>
      <c r="G1130" s="33"/>
      <c r="H1130" s="135"/>
      <c r="I1130" s="137"/>
      <c r="J1130" s="137"/>
      <c r="K1130" s="33"/>
      <c r="L1130" s="138"/>
      <c r="M1130" s="33"/>
      <c r="N1130" s="135"/>
      <c r="O1130" s="90"/>
      <c r="P1130" s="139"/>
      <c r="Q1130" s="38"/>
      <c r="R1130" s="38"/>
      <c r="S1130" s="38"/>
      <c r="T1130" s="38"/>
      <c r="U1130" s="38"/>
      <c r="V1130" s="38"/>
    </row>
    <row r="1131">
      <c r="A1131" s="134"/>
      <c r="B1131" s="33"/>
      <c r="C1131" s="33"/>
      <c r="D1131" s="135"/>
      <c r="E1131" s="33"/>
      <c r="F1131" s="136"/>
      <c r="G1131" s="33"/>
      <c r="H1131" s="135"/>
      <c r="I1131" s="137"/>
      <c r="J1131" s="137"/>
      <c r="K1131" s="33"/>
      <c r="L1131" s="138"/>
      <c r="M1131" s="33"/>
      <c r="N1131" s="135"/>
      <c r="O1131" s="90"/>
      <c r="P1131" s="139"/>
      <c r="Q1131" s="38"/>
      <c r="R1131" s="38"/>
      <c r="S1131" s="38"/>
      <c r="T1131" s="38"/>
      <c r="U1131" s="38"/>
      <c r="V1131" s="38"/>
    </row>
    <row r="1132">
      <c r="A1132" s="134"/>
      <c r="B1132" s="33"/>
      <c r="C1132" s="33"/>
      <c r="D1132" s="135"/>
      <c r="E1132" s="33"/>
      <c r="F1132" s="136"/>
      <c r="G1132" s="33"/>
      <c r="H1132" s="135"/>
      <c r="I1132" s="137"/>
      <c r="J1132" s="137"/>
      <c r="K1132" s="33"/>
      <c r="L1132" s="138"/>
      <c r="M1132" s="33"/>
      <c r="N1132" s="135"/>
      <c r="O1132" s="90"/>
      <c r="P1132" s="139"/>
      <c r="Q1132" s="38"/>
      <c r="R1132" s="38"/>
      <c r="S1132" s="38"/>
      <c r="T1132" s="38"/>
      <c r="U1132" s="38"/>
      <c r="V1132" s="38"/>
    </row>
    <row r="1133">
      <c r="A1133" s="134"/>
      <c r="B1133" s="33"/>
      <c r="C1133" s="33"/>
      <c r="D1133" s="135"/>
      <c r="E1133" s="33"/>
      <c r="F1133" s="136"/>
      <c r="G1133" s="33"/>
      <c r="H1133" s="135"/>
      <c r="I1133" s="137"/>
      <c r="J1133" s="137"/>
      <c r="K1133" s="33"/>
      <c r="L1133" s="138"/>
      <c r="M1133" s="33"/>
      <c r="N1133" s="135"/>
      <c r="O1133" s="90"/>
      <c r="P1133" s="139"/>
      <c r="Q1133" s="38"/>
      <c r="R1133" s="38"/>
      <c r="S1133" s="38"/>
      <c r="T1133" s="38"/>
      <c r="U1133" s="38"/>
      <c r="V1133" s="38"/>
    </row>
    <row r="1134">
      <c r="A1134" s="134"/>
      <c r="B1134" s="33"/>
      <c r="C1134" s="33"/>
      <c r="D1134" s="135"/>
      <c r="E1134" s="33"/>
      <c r="F1134" s="136"/>
      <c r="G1134" s="33"/>
      <c r="H1134" s="135"/>
      <c r="I1134" s="137"/>
      <c r="J1134" s="137"/>
      <c r="K1134" s="33"/>
      <c r="L1134" s="138"/>
      <c r="M1134" s="33"/>
      <c r="N1134" s="135"/>
      <c r="O1134" s="90"/>
      <c r="P1134" s="139"/>
      <c r="Q1134" s="38"/>
      <c r="R1134" s="38"/>
      <c r="S1134" s="38"/>
      <c r="T1134" s="38"/>
      <c r="U1134" s="38"/>
      <c r="V1134" s="38"/>
    </row>
    <row r="1135">
      <c r="A1135" s="134"/>
      <c r="B1135" s="33"/>
      <c r="C1135" s="33"/>
      <c r="D1135" s="135"/>
      <c r="E1135" s="33"/>
      <c r="F1135" s="136"/>
      <c r="G1135" s="33"/>
      <c r="H1135" s="135"/>
      <c r="I1135" s="137"/>
      <c r="J1135" s="137"/>
      <c r="K1135" s="33"/>
      <c r="L1135" s="138"/>
      <c r="M1135" s="33"/>
      <c r="N1135" s="135"/>
      <c r="O1135" s="90"/>
      <c r="P1135" s="139"/>
      <c r="Q1135" s="38"/>
      <c r="R1135" s="38"/>
      <c r="S1135" s="38"/>
      <c r="T1135" s="38"/>
      <c r="U1135" s="38"/>
      <c r="V1135" s="38"/>
    </row>
    <row r="1136">
      <c r="A1136" s="134"/>
      <c r="B1136" s="33"/>
      <c r="C1136" s="33"/>
      <c r="D1136" s="135"/>
      <c r="E1136" s="33"/>
      <c r="F1136" s="136"/>
      <c r="G1136" s="33"/>
      <c r="H1136" s="135"/>
      <c r="I1136" s="137"/>
      <c r="J1136" s="137"/>
      <c r="K1136" s="33"/>
      <c r="L1136" s="138"/>
      <c r="M1136" s="33"/>
      <c r="N1136" s="135"/>
      <c r="O1136" s="90"/>
      <c r="P1136" s="139"/>
      <c r="Q1136" s="38"/>
      <c r="R1136" s="38"/>
      <c r="S1136" s="38"/>
      <c r="T1136" s="38"/>
      <c r="U1136" s="38"/>
      <c r="V1136" s="38"/>
    </row>
    <row r="1137">
      <c r="A1137" s="134"/>
      <c r="B1137" s="33"/>
      <c r="C1137" s="33"/>
      <c r="D1137" s="135"/>
      <c r="E1137" s="33"/>
      <c r="F1137" s="136"/>
      <c r="G1137" s="33"/>
      <c r="H1137" s="135"/>
      <c r="I1137" s="137"/>
      <c r="J1137" s="137"/>
      <c r="K1137" s="33"/>
      <c r="L1137" s="138"/>
      <c r="M1137" s="33"/>
      <c r="N1137" s="135"/>
      <c r="O1137" s="90"/>
      <c r="P1137" s="139"/>
      <c r="Q1137" s="38"/>
      <c r="R1137" s="38"/>
      <c r="S1137" s="38"/>
      <c r="T1137" s="38"/>
      <c r="U1137" s="38"/>
      <c r="V1137" s="38"/>
    </row>
    <row r="1138">
      <c r="A1138" s="134"/>
      <c r="B1138" s="33"/>
      <c r="C1138" s="33"/>
      <c r="D1138" s="135"/>
      <c r="E1138" s="33"/>
      <c r="F1138" s="136"/>
      <c r="G1138" s="33"/>
      <c r="H1138" s="135"/>
      <c r="I1138" s="137"/>
      <c r="J1138" s="137"/>
      <c r="K1138" s="33"/>
      <c r="L1138" s="138"/>
      <c r="M1138" s="33"/>
      <c r="N1138" s="135"/>
      <c r="O1138" s="90"/>
      <c r="P1138" s="139"/>
      <c r="Q1138" s="38"/>
      <c r="R1138" s="38"/>
      <c r="S1138" s="38"/>
      <c r="T1138" s="38"/>
      <c r="U1138" s="38"/>
      <c r="V1138" s="38"/>
    </row>
    <row r="1139">
      <c r="A1139" s="134"/>
      <c r="B1139" s="33"/>
      <c r="C1139" s="33"/>
      <c r="D1139" s="135"/>
      <c r="E1139" s="33"/>
      <c r="F1139" s="136"/>
      <c r="G1139" s="33"/>
      <c r="H1139" s="135"/>
      <c r="I1139" s="137"/>
      <c r="J1139" s="137"/>
      <c r="K1139" s="33"/>
      <c r="L1139" s="138"/>
      <c r="M1139" s="33"/>
      <c r="N1139" s="135"/>
      <c r="O1139" s="90"/>
      <c r="P1139" s="139"/>
      <c r="Q1139" s="38"/>
      <c r="R1139" s="38"/>
      <c r="S1139" s="38"/>
      <c r="T1139" s="38"/>
      <c r="U1139" s="38"/>
      <c r="V1139" s="38"/>
    </row>
    <row r="1140">
      <c r="A1140" s="134"/>
      <c r="B1140" s="33"/>
      <c r="C1140" s="33"/>
      <c r="D1140" s="135"/>
      <c r="E1140" s="33"/>
      <c r="F1140" s="136"/>
      <c r="G1140" s="33"/>
      <c r="H1140" s="135"/>
      <c r="I1140" s="137"/>
      <c r="J1140" s="137"/>
      <c r="K1140" s="33"/>
      <c r="L1140" s="138"/>
      <c r="M1140" s="33"/>
      <c r="N1140" s="135"/>
      <c r="O1140" s="90"/>
      <c r="P1140" s="139"/>
      <c r="Q1140" s="38"/>
      <c r="R1140" s="38"/>
      <c r="S1140" s="38"/>
      <c r="T1140" s="38"/>
      <c r="U1140" s="38"/>
      <c r="V1140" s="38"/>
    </row>
    <row r="1141">
      <c r="A1141" s="134"/>
      <c r="B1141" s="33"/>
      <c r="C1141" s="33"/>
      <c r="D1141" s="135"/>
      <c r="E1141" s="33"/>
      <c r="F1141" s="136"/>
      <c r="G1141" s="33"/>
      <c r="H1141" s="135"/>
      <c r="I1141" s="137"/>
      <c r="J1141" s="137"/>
      <c r="K1141" s="33"/>
      <c r="L1141" s="138"/>
      <c r="M1141" s="33"/>
      <c r="N1141" s="135"/>
      <c r="O1141" s="90"/>
      <c r="P1141" s="139"/>
      <c r="Q1141" s="38"/>
      <c r="R1141" s="38"/>
      <c r="S1141" s="38"/>
      <c r="T1141" s="38"/>
      <c r="U1141" s="38"/>
      <c r="V1141" s="38"/>
    </row>
    <row r="1142">
      <c r="A1142" s="134"/>
      <c r="B1142" s="33"/>
      <c r="C1142" s="33"/>
      <c r="D1142" s="135"/>
      <c r="E1142" s="33"/>
      <c r="F1142" s="136"/>
      <c r="G1142" s="33"/>
      <c r="H1142" s="135"/>
      <c r="I1142" s="137"/>
      <c r="J1142" s="137"/>
      <c r="K1142" s="33"/>
      <c r="L1142" s="138"/>
      <c r="M1142" s="33"/>
      <c r="N1142" s="135"/>
      <c r="O1142" s="90"/>
      <c r="P1142" s="139"/>
      <c r="Q1142" s="38"/>
      <c r="R1142" s="38"/>
      <c r="S1142" s="38"/>
      <c r="T1142" s="38"/>
      <c r="U1142" s="38"/>
      <c r="V1142" s="38"/>
    </row>
    <row r="1143">
      <c r="A1143" s="134"/>
      <c r="B1143" s="33"/>
      <c r="C1143" s="33"/>
      <c r="D1143" s="135"/>
      <c r="E1143" s="33"/>
      <c r="F1143" s="136"/>
      <c r="G1143" s="33"/>
      <c r="H1143" s="135"/>
      <c r="I1143" s="137"/>
      <c r="J1143" s="137"/>
      <c r="K1143" s="33"/>
      <c r="L1143" s="138"/>
      <c r="M1143" s="33"/>
      <c r="N1143" s="135"/>
      <c r="O1143" s="90"/>
      <c r="P1143" s="139"/>
      <c r="Q1143" s="38"/>
      <c r="R1143" s="38"/>
      <c r="S1143" s="38"/>
      <c r="T1143" s="38"/>
      <c r="U1143" s="38"/>
      <c r="V1143" s="38"/>
    </row>
    <row r="1144">
      <c r="A1144" s="134"/>
      <c r="B1144" s="33"/>
      <c r="C1144" s="33"/>
      <c r="D1144" s="135"/>
      <c r="E1144" s="33"/>
      <c r="F1144" s="136"/>
      <c r="G1144" s="33"/>
      <c r="H1144" s="135"/>
      <c r="I1144" s="137"/>
      <c r="J1144" s="137"/>
      <c r="K1144" s="33"/>
      <c r="L1144" s="138"/>
      <c r="M1144" s="33"/>
      <c r="N1144" s="135"/>
      <c r="O1144" s="90"/>
      <c r="P1144" s="139"/>
      <c r="Q1144" s="38"/>
      <c r="R1144" s="38"/>
      <c r="S1144" s="38"/>
      <c r="T1144" s="38"/>
      <c r="U1144" s="38"/>
      <c r="V1144" s="38"/>
    </row>
    <row r="1145">
      <c r="A1145" s="134"/>
      <c r="B1145" s="33"/>
      <c r="C1145" s="33"/>
      <c r="D1145" s="135"/>
      <c r="E1145" s="33"/>
      <c r="F1145" s="136"/>
      <c r="G1145" s="33"/>
      <c r="H1145" s="135"/>
      <c r="I1145" s="137"/>
      <c r="J1145" s="137"/>
      <c r="K1145" s="33"/>
      <c r="L1145" s="138"/>
      <c r="M1145" s="33"/>
      <c r="N1145" s="135"/>
      <c r="O1145" s="90"/>
      <c r="P1145" s="139"/>
      <c r="Q1145" s="38"/>
      <c r="R1145" s="38"/>
      <c r="S1145" s="38"/>
      <c r="T1145" s="38"/>
      <c r="U1145" s="38"/>
      <c r="V1145" s="38"/>
    </row>
    <row r="1146">
      <c r="A1146" s="134"/>
      <c r="B1146" s="33"/>
      <c r="C1146" s="33"/>
      <c r="D1146" s="135"/>
      <c r="E1146" s="33"/>
      <c r="F1146" s="136"/>
      <c r="G1146" s="33"/>
      <c r="H1146" s="135"/>
      <c r="I1146" s="137"/>
      <c r="J1146" s="137"/>
      <c r="K1146" s="33"/>
      <c r="L1146" s="138"/>
      <c r="M1146" s="33"/>
      <c r="N1146" s="135"/>
      <c r="O1146" s="90"/>
      <c r="P1146" s="139"/>
      <c r="Q1146" s="38"/>
      <c r="R1146" s="38"/>
      <c r="S1146" s="38"/>
      <c r="T1146" s="38"/>
      <c r="U1146" s="38"/>
      <c r="V1146" s="38"/>
    </row>
    <row r="1147">
      <c r="A1147" s="134"/>
      <c r="B1147" s="33"/>
      <c r="C1147" s="33"/>
      <c r="D1147" s="135"/>
      <c r="E1147" s="33"/>
      <c r="F1147" s="136"/>
      <c r="G1147" s="33"/>
      <c r="H1147" s="135"/>
      <c r="I1147" s="137"/>
      <c r="J1147" s="137"/>
      <c r="K1147" s="33"/>
      <c r="L1147" s="138"/>
      <c r="M1147" s="33"/>
      <c r="N1147" s="135"/>
      <c r="O1147" s="90"/>
      <c r="P1147" s="139"/>
      <c r="Q1147" s="38"/>
      <c r="R1147" s="38"/>
      <c r="S1147" s="38"/>
      <c r="T1147" s="38"/>
      <c r="U1147" s="38"/>
      <c r="V1147" s="38"/>
    </row>
    <row r="1148">
      <c r="A1148" s="134"/>
      <c r="B1148" s="33"/>
      <c r="C1148" s="33"/>
      <c r="D1148" s="135"/>
      <c r="E1148" s="33"/>
      <c r="F1148" s="136"/>
      <c r="G1148" s="33"/>
      <c r="H1148" s="135"/>
      <c r="I1148" s="137"/>
      <c r="J1148" s="137"/>
      <c r="K1148" s="33"/>
      <c r="L1148" s="138"/>
      <c r="M1148" s="33"/>
      <c r="N1148" s="135"/>
      <c r="O1148" s="90"/>
      <c r="P1148" s="139"/>
      <c r="Q1148" s="38"/>
      <c r="R1148" s="38"/>
      <c r="S1148" s="38"/>
      <c r="T1148" s="38"/>
      <c r="U1148" s="38"/>
      <c r="V1148" s="38"/>
    </row>
    <row r="1149">
      <c r="A1149" s="134"/>
      <c r="B1149" s="33"/>
      <c r="C1149" s="33"/>
      <c r="D1149" s="135"/>
      <c r="E1149" s="33"/>
      <c r="F1149" s="136"/>
      <c r="G1149" s="33"/>
      <c r="H1149" s="135"/>
      <c r="I1149" s="137"/>
      <c r="J1149" s="137"/>
      <c r="K1149" s="33"/>
      <c r="L1149" s="138"/>
      <c r="M1149" s="33"/>
      <c r="N1149" s="135"/>
      <c r="O1149" s="90"/>
      <c r="P1149" s="139"/>
      <c r="Q1149" s="38"/>
      <c r="R1149" s="38"/>
      <c r="S1149" s="38"/>
      <c r="T1149" s="38"/>
      <c r="U1149" s="38"/>
      <c r="V1149" s="38"/>
    </row>
    <row r="1150">
      <c r="A1150" s="134"/>
      <c r="B1150" s="33"/>
      <c r="C1150" s="33"/>
      <c r="D1150" s="135"/>
      <c r="E1150" s="33"/>
      <c r="F1150" s="136"/>
      <c r="G1150" s="33"/>
      <c r="H1150" s="135"/>
      <c r="I1150" s="137"/>
      <c r="J1150" s="137"/>
      <c r="K1150" s="33"/>
      <c r="L1150" s="138"/>
      <c r="M1150" s="33"/>
      <c r="N1150" s="135"/>
      <c r="O1150" s="90"/>
      <c r="P1150" s="139"/>
      <c r="Q1150" s="38"/>
      <c r="R1150" s="38"/>
      <c r="S1150" s="38"/>
      <c r="T1150" s="38"/>
      <c r="U1150" s="38"/>
      <c r="V1150" s="38"/>
    </row>
    <row r="1151">
      <c r="A1151" s="134"/>
      <c r="B1151" s="33"/>
      <c r="C1151" s="33"/>
      <c r="D1151" s="135"/>
      <c r="E1151" s="33"/>
      <c r="F1151" s="136"/>
      <c r="G1151" s="33"/>
      <c r="H1151" s="135"/>
      <c r="I1151" s="137"/>
      <c r="J1151" s="137"/>
      <c r="K1151" s="33"/>
      <c r="L1151" s="138"/>
      <c r="M1151" s="33"/>
      <c r="N1151" s="135"/>
      <c r="O1151" s="90"/>
      <c r="P1151" s="139"/>
      <c r="Q1151" s="38"/>
      <c r="R1151" s="38"/>
      <c r="S1151" s="38"/>
      <c r="T1151" s="38"/>
      <c r="U1151" s="38"/>
      <c r="V1151" s="38"/>
    </row>
    <row r="1152">
      <c r="A1152" s="134"/>
      <c r="B1152" s="33"/>
      <c r="C1152" s="33"/>
      <c r="D1152" s="135"/>
      <c r="E1152" s="33"/>
      <c r="F1152" s="136"/>
      <c r="G1152" s="33"/>
      <c r="H1152" s="135"/>
      <c r="I1152" s="137"/>
      <c r="J1152" s="137"/>
      <c r="K1152" s="33"/>
      <c r="L1152" s="138"/>
      <c r="M1152" s="33"/>
      <c r="N1152" s="135"/>
      <c r="O1152" s="90"/>
      <c r="P1152" s="139"/>
      <c r="Q1152" s="38"/>
      <c r="R1152" s="38"/>
      <c r="S1152" s="38"/>
      <c r="T1152" s="38"/>
      <c r="U1152" s="38"/>
      <c r="V1152" s="38"/>
    </row>
    <row r="1153">
      <c r="A1153" s="134"/>
      <c r="B1153" s="33"/>
      <c r="C1153" s="33"/>
      <c r="D1153" s="135"/>
      <c r="E1153" s="33"/>
      <c r="F1153" s="136"/>
      <c r="G1153" s="33"/>
      <c r="H1153" s="135"/>
      <c r="I1153" s="137"/>
      <c r="J1153" s="137"/>
      <c r="K1153" s="33"/>
      <c r="L1153" s="138"/>
      <c r="M1153" s="33"/>
      <c r="N1153" s="135"/>
      <c r="O1153" s="90"/>
      <c r="P1153" s="139"/>
      <c r="Q1153" s="38"/>
      <c r="R1153" s="38"/>
      <c r="S1153" s="38"/>
      <c r="T1153" s="38"/>
      <c r="U1153" s="38"/>
      <c r="V1153" s="38"/>
    </row>
    <row r="1154">
      <c r="A1154" s="134"/>
      <c r="B1154" s="33"/>
      <c r="C1154" s="33"/>
      <c r="D1154" s="135"/>
      <c r="E1154" s="33"/>
      <c r="F1154" s="136"/>
      <c r="G1154" s="33"/>
      <c r="H1154" s="135"/>
      <c r="I1154" s="137"/>
      <c r="J1154" s="137"/>
      <c r="K1154" s="33"/>
      <c r="L1154" s="138"/>
      <c r="M1154" s="33"/>
      <c r="N1154" s="135"/>
      <c r="O1154" s="90"/>
      <c r="P1154" s="139"/>
      <c r="Q1154" s="38"/>
      <c r="R1154" s="38"/>
      <c r="S1154" s="38"/>
      <c r="T1154" s="38"/>
      <c r="U1154" s="38"/>
      <c r="V1154" s="38"/>
    </row>
    <row r="1155">
      <c r="A1155" s="134"/>
      <c r="B1155" s="33"/>
      <c r="C1155" s="33"/>
      <c r="D1155" s="135"/>
      <c r="E1155" s="33"/>
      <c r="F1155" s="136"/>
      <c r="G1155" s="33"/>
      <c r="H1155" s="135"/>
      <c r="I1155" s="137"/>
      <c r="J1155" s="137"/>
      <c r="K1155" s="33"/>
      <c r="L1155" s="138"/>
      <c r="M1155" s="33"/>
      <c r="N1155" s="135"/>
      <c r="O1155" s="90"/>
      <c r="P1155" s="139"/>
      <c r="Q1155" s="38"/>
      <c r="R1155" s="38"/>
      <c r="S1155" s="38"/>
      <c r="T1155" s="38"/>
      <c r="U1155" s="38"/>
      <c r="V1155" s="38"/>
    </row>
    <row r="1156">
      <c r="A1156" s="134"/>
      <c r="B1156" s="33"/>
      <c r="C1156" s="33"/>
      <c r="D1156" s="135"/>
      <c r="E1156" s="33"/>
      <c r="F1156" s="136"/>
      <c r="G1156" s="33"/>
      <c r="H1156" s="135"/>
      <c r="I1156" s="137"/>
      <c r="J1156" s="137"/>
      <c r="K1156" s="33"/>
      <c r="L1156" s="138"/>
      <c r="M1156" s="33"/>
      <c r="N1156" s="135"/>
      <c r="O1156" s="90"/>
      <c r="P1156" s="139"/>
      <c r="Q1156" s="38"/>
      <c r="R1156" s="38"/>
      <c r="S1156" s="38"/>
      <c r="T1156" s="38"/>
      <c r="U1156" s="38"/>
      <c r="V1156" s="38"/>
    </row>
    <row r="1157">
      <c r="A1157" s="134"/>
      <c r="B1157" s="33"/>
      <c r="C1157" s="33"/>
      <c r="D1157" s="135"/>
      <c r="E1157" s="33"/>
      <c r="F1157" s="136"/>
      <c r="G1157" s="33"/>
      <c r="H1157" s="135"/>
      <c r="I1157" s="137"/>
      <c r="J1157" s="137"/>
      <c r="K1157" s="33"/>
      <c r="L1157" s="138"/>
      <c r="M1157" s="33"/>
      <c r="N1157" s="135"/>
      <c r="O1157" s="90"/>
      <c r="P1157" s="139"/>
      <c r="Q1157" s="38"/>
      <c r="R1157" s="38"/>
      <c r="S1157" s="38"/>
      <c r="T1157" s="38"/>
      <c r="U1157" s="38"/>
      <c r="V1157" s="38"/>
    </row>
    <row r="1158">
      <c r="A1158" s="134"/>
      <c r="B1158" s="33"/>
      <c r="C1158" s="33"/>
      <c r="D1158" s="135"/>
      <c r="E1158" s="33"/>
      <c r="F1158" s="136"/>
      <c r="G1158" s="33"/>
      <c r="H1158" s="135"/>
      <c r="I1158" s="137"/>
      <c r="J1158" s="137"/>
      <c r="K1158" s="33"/>
      <c r="L1158" s="138"/>
      <c r="M1158" s="33"/>
      <c r="N1158" s="135"/>
      <c r="O1158" s="90"/>
      <c r="P1158" s="139"/>
      <c r="Q1158" s="38"/>
      <c r="R1158" s="38"/>
      <c r="S1158" s="38"/>
      <c r="T1158" s="38"/>
      <c r="U1158" s="38"/>
      <c r="V1158" s="38"/>
    </row>
    <row r="1159">
      <c r="A1159" s="134"/>
      <c r="B1159" s="33"/>
      <c r="C1159" s="33"/>
      <c r="D1159" s="135"/>
      <c r="E1159" s="33"/>
      <c r="F1159" s="136"/>
      <c r="G1159" s="33"/>
      <c r="H1159" s="135"/>
      <c r="I1159" s="137"/>
      <c r="J1159" s="137"/>
      <c r="K1159" s="33"/>
      <c r="L1159" s="138"/>
      <c r="M1159" s="33"/>
      <c r="N1159" s="135"/>
      <c r="O1159" s="90"/>
      <c r="P1159" s="139"/>
      <c r="Q1159" s="38"/>
      <c r="R1159" s="38"/>
      <c r="S1159" s="38"/>
      <c r="T1159" s="38"/>
      <c r="U1159" s="38"/>
      <c r="V1159" s="38"/>
    </row>
    <row r="1160">
      <c r="A1160" s="134"/>
      <c r="B1160" s="33"/>
      <c r="C1160" s="33"/>
      <c r="D1160" s="135"/>
      <c r="E1160" s="33"/>
      <c r="F1160" s="136"/>
      <c r="G1160" s="33"/>
      <c r="H1160" s="135"/>
      <c r="I1160" s="137"/>
      <c r="J1160" s="137"/>
      <c r="K1160" s="33"/>
      <c r="L1160" s="138"/>
      <c r="M1160" s="33"/>
      <c r="N1160" s="135"/>
      <c r="O1160" s="90"/>
      <c r="P1160" s="139"/>
      <c r="Q1160" s="38"/>
      <c r="R1160" s="38"/>
      <c r="S1160" s="38"/>
      <c r="T1160" s="38"/>
      <c r="U1160" s="38"/>
      <c r="V1160" s="38"/>
    </row>
    <row r="1161">
      <c r="A1161" s="134"/>
      <c r="B1161" s="33"/>
      <c r="C1161" s="33"/>
      <c r="D1161" s="135"/>
      <c r="E1161" s="33"/>
      <c r="F1161" s="136"/>
      <c r="G1161" s="33"/>
      <c r="H1161" s="135"/>
      <c r="I1161" s="137"/>
      <c r="J1161" s="137"/>
      <c r="K1161" s="33"/>
      <c r="L1161" s="138"/>
      <c r="M1161" s="33"/>
      <c r="N1161" s="135"/>
      <c r="O1161" s="90"/>
      <c r="P1161" s="139"/>
      <c r="Q1161" s="38"/>
      <c r="R1161" s="38"/>
      <c r="S1161" s="38"/>
      <c r="T1161" s="38"/>
      <c r="U1161" s="38"/>
      <c r="V1161" s="38"/>
    </row>
    <row r="1162">
      <c r="A1162" s="134"/>
      <c r="B1162" s="33"/>
      <c r="C1162" s="33"/>
      <c r="D1162" s="135"/>
      <c r="E1162" s="33"/>
      <c r="F1162" s="136"/>
      <c r="G1162" s="33"/>
      <c r="H1162" s="135"/>
      <c r="I1162" s="137"/>
      <c r="J1162" s="137"/>
      <c r="K1162" s="33"/>
      <c r="L1162" s="138"/>
      <c r="M1162" s="33"/>
      <c r="N1162" s="135"/>
      <c r="O1162" s="90"/>
      <c r="P1162" s="139"/>
      <c r="Q1162" s="38"/>
      <c r="R1162" s="38"/>
      <c r="S1162" s="38"/>
      <c r="T1162" s="38"/>
      <c r="U1162" s="38"/>
      <c r="V1162" s="38"/>
    </row>
    <row r="1163">
      <c r="A1163" s="134"/>
      <c r="B1163" s="33"/>
      <c r="C1163" s="33"/>
      <c r="D1163" s="135"/>
      <c r="E1163" s="33"/>
      <c r="F1163" s="136"/>
      <c r="G1163" s="33"/>
      <c r="H1163" s="135"/>
      <c r="I1163" s="137"/>
      <c r="J1163" s="137"/>
      <c r="K1163" s="33"/>
      <c r="L1163" s="138"/>
      <c r="M1163" s="33"/>
      <c r="N1163" s="135"/>
      <c r="O1163" s="90"/>
      <c r="P1163" s="139"/>
      <c r="Q1163" s="38"/>
      <c r="R1163" s="38"/>
      <c r="S1163" s="38"/>
      <c r="T1163" s="38"/>
      <c r="U1163" s="38"/>
      <c r="V1163" s="38"/>
    </row>
    <row r="1164">
      <c r="A1164" s="134"/>
      <c r="B1164" s="33"/>
      <c r="C1164" s="33"/>
      <c r="D1164" s="135"/>
      <c r="E1164" s="33"/>
      <c r="F1164" s="136"/>
      <c r="G1164" s="33"/>
      <c r="H1164" s="135"/>
      <c r="I1164" s="137"/>
      <c r="J1164" s="137"/>
      <c r="K1164" s="33"/>
      <c r="L1164" s="138"/>
      <c r="M1164" s="33"/>
      <c r="N1164" s="135"/>
      <c r="O1164" s="90"/>
      <c r="P1164" s="139"/>
      <c r="Q1164" s="38"/>
      <c r="R1164" s="38"/>
      <c r="S1164" s="38"/>
      <c r="T1164" s="38"/>
      <c r="U1164" s="38"/>
      <c r="V1164" s="38"/>
    </row>
    <row r="1165">
      <c r="A1165" s="134"/>
      <c r="B1165" s="33"/>
      <c r="C1165" s="33"/>
      <c r="D1165" s="135"/>
      <c r="E1165" s="33"/>
      <c r="F1165" s="136"/>
      <c r="G1165" s="33"/>
      <c r="H1165" s="135"/>
      <c r="I1165" s="137"/>
      <c r="J1165" s="137"/>
      <c r="K1165" s="33"/>
      <c r="L1165" s="138"/>
      <c r="M1165" s="33"/>
      <c r="N1165" s="135"/>
      <c r="O1165" s="90"/>
      <c r="P1165" s="139"/>
      <c r="Q1165" s="38"/>
      <c r="R1165" s="38"/>
      <c r="S1165" s="38"/>
      <c r="T1165" s="38"/>
      <c r="U1165" s="38"/>
      <c r="V1165" s="38"/>
    </row>
    <row r="1166">
      <c r="A1166" s="134"/>
      <c r="B1166" s="33"/>
      <c r="C1166" s="33"/>
      <c r="D1166" s="135"/>
      <c r="E1166" s="33"/>
      <c r="F1166" s="136"/>
      <c r="G1166" s="33"/>
      <c r="H1166" s="135"/>
      <c r="I1166" s="137"/>
      <c r="J1166" s="137"/>
      <c r="K1166" s="33"/>
      <c r="L1166" s="138"/>
      <c r="M1166" s="33"/>
      <c r="N1166" s="135"/>
      <c r="O1166" s="90"/>
      <c r="P1166" s="139"/>
      <c r="Q1166" s="38"/>
      <c r="R1166" s="38"/>
      <c r="S1166" s="38"/>
      <c r="T1166" s="38"/>
      <c r="U1166" s="38"/>
      <c r="V1166" s="38"/>
    </row>
    <row r="1167">
      <c r="A1167" s="134"/>
      <c r="B1167" s="33"/>
      <c r="C1167" s="33"/>
      <c r="D1167" s="135"/>
      <c r="E1167" s="33"/>
      <c r="F1167" s="136"/>
      <c r="G1167" s="33"/>
      <c r="H1167" s="135"/>
      <c r="I1167" s="137"/>
      <c r="J1167" s="137"/>
      <c r="K1167" s="33"/>
      <c r="L1167" s="138"/>
      <c r="M1167" s="33"/>
      <c r="N1167" s="135"/>
      <c r="O1167" s="90"/>
      <c r="P1167" s="139"/>
      <c r="Q1167" s="38"/>
      <c r="R1167" s="38"/>
      <c r="S1167" s="38"/>
      <c r="T1167" s="38"/>
      <c r="U1167" s="38"/>
      <c r="V1167" s="38"/>
    </row>
    <row r="1168">
      <c r="A1168" s="134"/>
      <c r="B1168" s="33"/>
      <c r="C1168" s="33"/>
      <c r="D1168" s="135"/>
      <c r="E1168" s="33"/>
      <c r="F1168" s="136"/>
      <c r="G1168" s="33"/>
      <c r="H1168" s="135"/>
      <c r="I1168" s="137"/>
      <c r="J1168" s="137"/>
      <c r="K1168" s="33"/>
      <c r="L1168" s="138"/>
      <c r="M1168" s="33"/>
      <c r="N1168" s="135"/>
      <c r="O1168" s="90"/>
      <c r="P1168" s="139"/>
      <c r="Q1168" s="38"/>
      <c r="R1168" s="38"/>
      <c r="S1168" s="38"/>
      <c r="T1168" s="38"/>
      <c r="U1168" s="38"/>
      <c r="V1168" s="38"/>
    </row>
    <row r="1169">
      <c r="A1169" s="134"/>
      <c r="B1169" s="33"/>
      <c r="C1169" s="33"/>
      <c r="D1169" s="135"/>
      <c r="E1169" s="33"/>
      <c r="F1169" s="136"/>
      <c r="G1169" s="33"/>
      <c r="H1169" s="135"/>
      <c r="I1169" s="137"/>
      <c r="J1169" s="137"/>
      <c r="K1169" s="33"/>
      <c r="L1169" s="138"/>
      <c r="M1169" s="33"/>
      <c r="N1169" s="135"/>
      <c r="O1169" s="90"/>
      <c r="P1169" s="139"/>
      <c r="Q1169" s="38"/>
      <c r="R1169" s="38"/>
      <c r="S1169" s="38"/>
      <c r="T1169" s="38"/>
      <c r="U1169" s="38"/>
      <c r="V1169" s="38"/>
    </row>
    <row r="1170">
      <c r="A1170" s="134"/>
      <c r="B1170" s="33"/>
      <c r="C1170" s="33"/>
      <c r="D1170" s="135"/>
      <c r="E1170" s="33"/>
      <c r="F1170" s="136"/>
      <c r="G1170" s="33"/>
      <c r="H1170" s="135"/>
      <c r="I1170" s="137"/>
      <c r="J1170" s="137"/>
      <c r="K1170" s="33"/>
      <c r="L1170" s="138"/>
      <c r="M1170" s="33"/>
      <c r="N1170" s="135"/>
      <c r="O1170" s="90"/>
      <c r="P1170" s="139"/>
      <c r="Q1170" s="38"/>
      <c r="R1170" s="38"/>
      <c r="S1170" s="38"/>
      <c r="T1170" s="38"/>
      <c r="U1170" s="38"/>
      <c r="V1170" s="38"/>
    </row>
    <row r="1171">
      <c r="A1171" s="134"/>
      <c r="B1171" s="33"/>
      <c r="C1171" s="33"/>
      <c r="D1171" s="135"/>
      <c r="E1171" s="33"/>
      <c r="F1171" s="136"/>
      <c r="G1171" s="33"/>
      <c r="H1171" s="135"/>
      <c r="I1171" s="137"/>
      <c r="J1171" s="137"/>
      <c r="K1171" s="33"/>
      <c r="L1171" s="138"/>
      <c r="M1171" s="33"/>
      <c r="N1171" s="135"/>
      <c r="O1171" s="90"/>
      <c r="P1171" s="139"/>
      <c r="Q1171" s="38"/>
      <c r="R1171" s="38"/>
      <c r="S1171" s="38"/>
      <c r="T1171" s="38"/>
      <c r="U1171" s="38"/>
      <c r="V1171" s="38"/>
    </row>
    <row r="1172">
      <c r="A1172" s="134"/>
      <c r="B1172" s="33"/>
      <c r="C1172" s="33"/>
      <c r="D1172" s="135"/>
      <c r="E1172" s="33"/>
      <c r="F1172" s="136"/>
      <c r="G1172" s="33"/>
      <c r="H1172" s="135"/>
      <c r="I1172" s="137"/>
      <c r="J1172" s="137"/>
      <c r="K1172" s="33"/>
      <c r="L1172" s="138"/>
      <c r="M1172" s="33"/>
      <c r="N1172" s="135"/>
      <c r="O1172" s="90"/>
      <c r="P1172" s="139"/>
      <c r="Q1172" s="38"/>
      <c r="R1172" s="38"/>
      <c r="S1172" s="38"/>
      <c r="T1172" s="38"/>
      <c r="U1172" s="38"/>
      <c r="V1172" s="38"/>
    </row>
    <row r="1173">
      <c r="A1173" s="134"/>
      <c r="B1173" s="33"/>
      <c r="C1173" s="33"/>
      <c r="D1173" s="135"/>
      <c r="E1173" s="33"/>
      <c r="F1173" s="136"/>
      <c r="G1173" s="33"/>
      <c r="H1173" s="135"/>
      <c r="I1173" s="137"/>
      <c r="J1173" s="137"/>
      <c r="K1173" s="33"/>
      <c r="L1173" s="138"/>
      <c r="M1173" s="33"/>
      <c r="N1173" s="135"/>
      <c r="O1173" s="90"/>
      <c r="P1173" s="139"/>
      <c r="Q1173" s="38"/>
      <c r="R1173" s="38"/>
      <c r="S1173" s="38"/>
      <c r="T1173" s="38"/>
      <c r="U1173" s="38"/>
      <c r="V1173" s="38"/>
    </row>
    <row r="1174">
      <c r="A1174" s="134"/>
      <c r="B1174" s="33"/>
      <c r="C1174" s="33"/>
      <c r="D1174" s="135"/>
      <c r="E1174" s="33"/>
      <c r="F1174" s="136"/>
      <c r="G1174" s="33"/>
      <c r="H1174" s="135"/>
      <c r="I1174" s="137"/>
      <c r="J1174" s="137"/>
      <c r="K1174" s="33"/>
      <c r="L1174" s="138"/>
      <c r="M1174" s="33"/>
      <c r="N1174" s="135"/>
      <c r="O1174" s="90"/>
      <c r="P1174" s="139"/>
      <c r="Q1174" s="38"/>
      <c r="R1174" s="38"/>
      <c r="S1174" s="38"/>
      <c r="T1174" s="38"/>
      <c r="U1174" s="38"/>
      <c r="V1174" s="38"/>
    </row>
    <row r="1175">
      <c r="A1175" s="134"/>
      <c r="B1175" s="33"/>
      <c r="C1175" s="33"/>
      <c r="D1175" s="135"/>
      <c r="E1175" s="33"/>
      <c r="F1175" s="136"/>
      <c r="G1175" s="33"/>
      <c r="H1175" s="135"/>
      <c r="I1175" s="137"/>
      <c r="J1175" s="137"/>
      <c r="K1175" s="33"/>
      <c r="L1175" s="138"/>
      <c r="M1175" s="33"/>
      <c r="N1175" s="135"/>
      <c r="O1175" s="90"/>
      <c r="P1175" s="139"/>
      <c r="Q1175" s="38"/>
      <c r="R1175" s="38"/>
      <c r="S1175" s="38"/>
      <c r="T1175" s="38"/>
      <c r="U1175" s="38"/>
      <c r="V1175" s="38"/>
    </row>
    <row r="1176">
      <c r="A1176" s="134"/>
      <c r="B1176" s="33"/>
      <c r="C1176" s="33"/>
      <c r="D1176" s="135"/>
      <c r="E1176" s="33"/>
      <c r="F1176" s="136"/>
      <c r="G1176" s="33"/>
      <c r="H1176" s="135"/>
      <c r="I1176" s="137"/>
      <c r="J1176" s="137"/>
      <c r="K1176" s="33"/>
      <c r="L1176" s="138"/>
      <c r="M1176" s="33"/>
      <c r="N1176" s="135"/>
      <c r="O1176" s="90"/>
      <c r="P1176" s="139"/>
      <c r="Q1176" s="38"/>
      <c r="R1176" s="38"/>
      <c r="S1176" s="38"/>
      <c r="T1176" s="38"/>
      <c r="U1176" s="38"/>
      <c r="V1176" s="38"/>
    </row>
    <row r="1177">
      <c r="A1177" s="134"/>
      <c r="B1177" s="33"/>
      <c r="C1177" s="33"/>
      <c r="D1177" s="135"/>
      <c r="E1177" s="33"/>
      <c r="F1177" s="136"/>
      <c r="G1177" s="33"/>
      <c r="H1177" s="135"/>
      <c r="I1177" s="137"/>
      <c r="J1177" s="137"/>
      <c r="K1177" s="33"/>
      <c r="L1177" s="138"/>
      <c r="M1177" s="33"/>
      <c r="N1177" s="135"/>
      <c r="O1177" s="90"/>
      <c r="P1177" s="139"/>
      <c r="Q1177" s="38"/>
      <c r="R1177" s="38"/>
      <c r="S1177" s="38"/>
      <c r="T1177" s="38"/>
      <c r="U1177" s="38"/>
      <c r="V1177" s="38"/>
    </row>
    <row r="1178">
      <c r="A1178" s="134"/>
      <c r="B1178" s="33"/>
      <c r="C1178" s="33"/>
      <c r="D1178" s="135"/>
      <c r="E1178" s="33"/>
      <c r="F1178" s="136"/>
      <c r="G1178" s="33"/>
      <c r="H1178" s="135"/>
      <c r="I1178" s="137"/>
      <c r="J1178" s="137"/>
      <c r="K1178" s="33"/>
      <c r="L1178" s="138"/>
      <c r="M1178" s="33"/>
      <c r="N1178" s="135"/>
      <c r="O1178" s="90"/>
      <c r="P1178" s="139"/>
      <c r="Q1178" s="38"/>
      <c r="R1178" s="38"/>
      <c r="S1178" s="38"/>
      <c r="T1178" s="38"/>
      <c r="U1178" s="38"/>
      <c r="V1178" s="38"/>
    </row>
    <row r="1179">
      <c r="A1179" s="134"/>
      <c r="B1179" s="33"/>
      <c r="C1179" s="33"/>
      <c r="D1179" s="135"/>
      <c r="E1179" s="33"/>
      <c r="F1179" s="136"/>
      <c r="G1179" s="33"/>
      <c r="H1179" s="135"/>
      <c r="I1179" s="137"/>
      <c r="J1179" s="137"/>
      <c r="K1179" s="33"/>
      <c r="L1179" s="138"/>
      <c r="M1179" s="33"/>
      <c r="N1179" s="135"/>
      <c r="O1179" s="90"/>
      <c r="P1179" s="139"/>
      <c r="Q1179" s="38"/>
      <c r="R1179" s="38"/>
      <c r="S1179" s="38"/>
      <c r="T1179" s="38"/>
      <c r="U1179" s="38"/>
      <c r="V1179" s="38"/>
    </row>
    <row r="1180">
      <c r="A1180" s="134"/>
      <c r="B1180" s="33"/>
      <c r="C1180" s="33"/>
      <c r="D1180" s="135"/>
      <c r="E1180" s="33"/>
      <c r="F1180" s="136"/>
      <c r="G1180" s="33"/>
      <c r="H1180" s="135"/>
      <c r="I1180" s="137"/>
      <c r="J1180" s="137"/>
      <c r="K1180" s="33"/>
      <c r="L1180" s="138"/>
      <c r="M1180" s="33"/>
      <c r="N1180" s="135"/>
      <c r="O1180" s="90"/>
      <c r="P1180" s="139"/>
      <c r="Q1180" s="38"/>
      <c r="R1180" s="38"/>
      <c r="S1180" s="38"/>
      <c r="T1180" s="38"/>
      <c r="U1180" s="38"/>
      <c r="V1180" s="38"/>
    </row>
    <row r="1181">
      <c r="A1181" s="134"/>
      <c r="B1181" s="33"/>
      <c r="C1181" s="33"/>
      <c r="D1181" s="135"/>
      <c r="E1181" s="33"/>
      <c r="F1181" s="136"/>
      <c r="G1181" s="33"/>
      <c r="H1181" s="135"/>
      <c r="I1181" s="137"/>
      <c r="J1181" s="137"/>
      <c r="K1181" s="33"/>
      <c r="L1181" s="138"/>
      <c r="M1181" s="33"/>
      <c r="N1181" s="135"/>
      <c r="O1181" s="90"/>
      <c r="P1181" s="139"/>
      <c r="Q1181" s="38"/>
      <c r="R1181" s="38"/>
      <c r="S1181" s="38"/>
      <c r="T1181" s="38"/>
      <c r="U1181" s="38"/>
      <c r="V1181" s="38"/>
    </row>
    <row r="1182">
      <c r="A1182" s="134"/>
      <c r="B1182" s="33"/>
      <c r="C1182" s="33"/>
      <c r="D1182" s="135"/>
      <c r="E1182" s="33"/>
      <c r="F1182" s="136"/>
      <c r="G1182" s="33"/>
      <c r="H1182" s="135"/>
      <c r="I1182" s="137"/>
      <c r="J1182" s="137"/>
      <c r="K1182" s="33"/>
      <c r="L1182" s="138"/>
      <c r="M1182" s="33"/>
      <c r="N1182" s="135"/>
      <c r="O1182" s="90"/>
      <c r="P1182" s="139"/>
      <c r="Q1182" s="38"/>
      <c r="R1182" s="38"/>
      <c r="S1182" s="38"/>
      <c r="T1182" s="38"/>
      <c r="U1182" s="38"/>
      <c r="V1182" s="38"/>
    </row>
    <row r="1183">
      <c r="A1183" s="134"/>
      <c r="B1183" s="33"/>
      <c r="C1183" s="33"/>
      <c r="D1183" s="135"/>
      <c r="E1183" s="33"/>
      <c r="F1183" s="136"/>
      <c r="G1183" s="33"/>
      <c r="H1183" s="135"/>
      <c r="I1183" s="137"/>
      <c r="J1183" s="137"/>
      <c r="K1183" s="33"/>
      <c r="L1183" s="138"/>
      <c r="M1183" s="33"/>
      <c r="N1183" s="135"/>
      <c r="O1183" s="90"/>
      <c r="P1183" s="139"/>
      <c r="Q1183" s="38"/>
      <c r="R1183" s="38"/>
      <c r="S1183" s="38"/>
      <c r="T1183" s="38"/>
      <c r="U1183" s="38"/>
      <c r="V1183" s="38"/>
    </row>
    <row r="1184">
      <c r="A1184" s="134"/>
      <c r="B1184" s="33"/>
      <c r="C1184" s="33"/>
      <c r="D1184" s="135"/>
      <c r="E1184" s="33"/>
      <c r="F1184" s="136"/>
      <c r="G1184" s="33"/>
      <c r="H1184" s="135"/>
      <c r="I1184" s="137"/>
      <c r="J1184" s="137"/>
      <c r="K1184" s="33"/>
      <c r="L1184" s="138"/>
      <c r="M1184" s="33"/>
      <c r="N1184" s="135"/>
      <c r="O1184" s="90"/>
      <c r="P1184" s="139"/>
      <c r="Q1184" s="38"/>
      <c r="R1184" s="38"/>
      <c r="S1184" s="38"/>
      <c r="T1184" s="38"/>
      <c r="U1184" s="38"/>
      <c r="V1184" s="38"/>
    </row>
    <row r="1185">
      <c r="A1185" s="134"/>
      <c r="B1185" s="33"/>
      <c r="C1185" s="33"/>
      <c r="D1185" s="135"/>
      <c r="E1185" s="33"/>
      <c r="F1185" s="136"/>
      <c r="G1185" s="33"/>
      <c r="H1185" s="135"/>
      <c r="I1185" s="137"/>
      <c r="J1185" s="137"/>
      <c r="K1185" s="33"/>
      <c r="L1185" s="138"/>
      <c r="M1185" s="33"/>
      <c r="N1185" s="135"/>
      <c r="O1185" s="90"/>
      <c r="P1185" s="139"/>
      <c r="Q1185" s="38"/>
      <c r="R1185" s="38"/>
      <c r="S1185" s="38"/>
      <c r="T1185" s="38"/>
      <c r="U1185" s="38"/>
      <c r="V1185" s="38"/>
    </row>
    <row r="1186">
      <c r="A1186" s="134"/>
      <c r="B1186" s="33"/>
      <c r="C1186" s="33"/>
      <c r="D1186" s="135"/>
      <c r="E1186" s="33"/>
      <c r="F1186" s="136"/>
      <c r="G1186" s="33"/>
      <c r="H1186" s="135"/>
      <c r="I1186" s="137"/>
      <c r="J1186" s="137"/>
      <c r="K1186" s="33"/>
      <c r="L1186" s="138"/>
      <c r="M1186" s="33"/>
      <c r="N1186" s="135"/>
      <c r="O1186" s="90"/>
      <c r="P1186" s="139"/>
      <c r="Q1186" s="38"/>
      <c r="R1186" s="38"/>
      <c r="S1186" s="38"/>
      <c r="T1186" s="38"/>
      <c r="U1186" s="38"/>
      <c r="V1186" s="38"/>
    </row>
    <row r="1187">
      <c r="A1187" s="134"/>
      <c r="B1187" s="33"/>
      <c r="C1187" s="33"/>
      <c r="D1187" s="135"/>
      <c r="E1187" s="33"/>
      <c r="F1187" s="136"/>
      <c r="G1187" s="33"/>
      <c r="H1187" s="135"/>
      <c r="I1187" s="137"/>
      <c r="J1187" s="137"/>
      <c r="K1187" s="33"/>
      <c r="L1187" s="138"/>
      <c r="M1187" s="33"/>
      <c r="N1187" s="135"/>
      <c r="O1187" s="90"/>
      <c r="P1187" s="139"/>
      <c r="Q1187" s="38"/>
      <c r="R1187" s="38"/>
      <c r="S1187" s="38"/>
      <c r="T1187" s="38"/>
      <c r="U1187" s="38"/>
      <c r="V1187" s="38"/>
    </row>
    <row r="1188">
      <c r="A1188" s="134"/>
      <c r="B1188" s="33"/>
      <c r="C1188" s="33"/>
      <c r="D1188" s="135"/>
      <c r="E1188" s="33"/>
      <c r="F1188" s="136"/>
      <c r="G1188" s="33"/>
      <c r="H1188" s="135"/>
      <c r="I1188" s="137"/>
      <c r="J1188" s="137"/>
      <c r="K1188" s="33"/>
      <c r="L1188" s="138"/>
      <c r="M1188" s="33"/>
      <c r="N1188" s="135"/>
      <c r="O1188" s="90"/>
      <c r="P1188" s="139"/>
      <c r="Q1188" s="38"/>
      <c r="R1188" s="38"/>
      <c r="S1188" s="38"/>
      <c r="T1188" s="38"/>
      <c r="U1188" s="38"/>
      <c r="V1188" s="38"/>
    </row>
    <row r="1189">
      <c r="A1189" s="134"/>
      <c r="B1189" s="33"/>
      <c r="C1189" s="33"/>
      <c r="D1189" s="135"/>
      <c r="E1189" s="33"/>
      <c r="F1189" s="136"/>
      <c r="G1189" s="33"/>
      <c r="H1189" s="135"/>
      <c r="I1189" s="137"/>
      <c r="J1189" s="137"/>
      <c r="K1189" s="33"/>
      <c r="L1189" s="138"/>
      <c r="M1189" s="33"/>
      <c r="N1189" s="135"/>
      <c r="O1189" s="90"/>
      <c r="P1189" s="139"/>
      <c r="Q1189" s="38"/>
      <c r="R1189" s="38"/>
      <c r="S1189" s="38"/>
      <c r="T1189" s="38"/>
      <c r="U1189" s="38"/>
      <c r="V1189" s="38"/>
    </row>
    <row r="1190">
      <c r="A1190" s="134"/>
      <c r="B1190" s="33"/>
      <c r="C1190" s="33"/>
      <c r="D1190" s="135"/>
      <c r="E1190" s="33"/>
      <c r="F1190" s="136"/>
      <c r="G1190" s="33"/>
      <c r="H1190" s="135"/>
      <c r="I1190" s="137"/>
      <c r="J1190" s="137"/>
      <c r="K1190" s="33"/>
      <c r="L1190" s="138"/>
      <c r="M1190" s="33"/>
      <c r="N1190" s="135"/>
      <c r="O1190" s="90"/>
      <c r="P1190" s="139"/>
      <c r="Q1190" s="38"/>
      <c r="R1190" s="38"/>
      <c r="S1190" s="38"/>
      <c r="T1190" s="38"/>
      <c r="U1190" s="38"/>
      <c r="V1190" s="38"/>
    </row>
    <row r="1191">
      <c r="A1191" s="134"/>
      <c r="B1191" s="33"/>
      <c r="C1191" s="33"/>
      <c r="D1191" s="135"/>
      <c r="E1191" s="33"/>
      <c r="F1191" s="136"/>
      <c r="G1191" s="33"/>
      <c r="H1191" s="135"/>
      <c r="I1191" s="137"/>
      <c r="J1191" s="137"/>
      <c r="K1191" s="33"/>
      <c r="L1191" s="138"/>
      <c r="M1191" s="33"/>
      <c r="N1191" s="135"/>
      <c r="O1191" s="90"/>
      <c r="P1191" s="139"/>
      <c r="Q1191" s="38"/>
      <c r="R1191" s="38"/>
      <c r="S1191" s="38"/>
      <c r="T1191" s="38"/>
      <c r="U1191" s="38"/>
      <c r="V1191" s="38"/>
    </row>
    <row r="1192">
      <c r="A1192" s="134"/>
      <c r="B1192" s="33"/>
      <c r="C1192" s="33"/>
      <c r="D1192" s="135"/>
      <c r="E1192" s="33"/>
      <c r="F1192" s="136"/>
      <c r="G1192" s="33"/>
      <c r="H1192" s="135"/>
      <c r="I1192" s="137"/>
      <c r="J1192" s="137"/>
      <c r="K1192" s="33"/>
      <c r="L1192" s="138"/>
      <c r="M1192" s="33"/>
      <c r="N1192" s="135"/>
      <c r="O1192" s="90"/>
      <c r="P1192" s="139"/>
      <c r="Q1192" s="38"/>
      <c r="R1192" s="38"/>
      <c r="S1192" s="38"/>
      <c r="T1192" s="38"/>
      <c r="U1192" s="38"/>
      <c r="V1192" s="38"/>
    </row>
    <row r="1193">
      <c r="A1193" s="134"/>
      <c r="B1193" s="33"/>
      <c r="C1193" s="33"/>
      <c r="D1193" s="135"/>
      <c r="E1193" s="33"/>
      <c r="F1193" s="136"/>
      <c r="G1193" s="33"/>
      <c r="H1193" s="135"/>
      <c r="I1193" s="137"/>
      <c r="J1193" s="137"/>
      <c r="K1193" s="33"/>
      <c r="L1193" s="138"/>
      <c r="M1193" s="33"/>
      <c r="N1193" s="135"/>
      <c r="O1193" s="90"/>
      <c r="P1193" s="139"/>
      <c r="Q1193" s="38"/>
      <c r="R1193" s="38"/>
      <c r="S1193" s="38"/>
      <c r="T1193" s="38"/>
      <c r="U1193" s="38"/>
      <c r="V1193" s="38"/>
    </row>
    <row r="1194">
      <c r="A1194" s="134"/>
      <c r="B1194" s="33"/>
      <c r="C1194" s="33"/>
      <c r="D1194" s="135"/>
      <c r="E1194" s="33"/>
      <c r="F1194" s="136"/>
      <c r="G1194" s="33"/>
      <c r="H1194" s="135"/>
      <c r="I1194" s="137"/>
      <c r="J1194" s="137"/>
      <c r="K1194" s="33"/>
      <c r="L1194" s="138"/>
      <c r="M1194" s="33"/>
      <c r="N1194" s="135"/>
      <c r="O1194" s="90"/>
      <c r="P1194" s="139"/>
      <c r="Q1194" s="38"/>
      <c r="R1194" s="38"/>
      <c r="S1194" s="38"/>
      <c r="T1194" s="38"/>
      <c r="U1194" s="38"/>
      <c r="V1194" s="38"/>
    </row>
    <row r="1195">
      <c r="A1195" s="134"/>
      <c r="B1195" s="33"/>
      <c r="C1195" s="33"/>
      <c r="D1195" s="135"/>
      <c r="E1195" s="33"/>
      <c r="F1195" s="136"/>
      <c r="G1195" s="33"/>
      <c r="H1195" s="135"/>
      <c r="I1195" s="137"/>
      <c r="J1195" s="137"/>
      <c r="K1195" s="33"/>
      <c r="L1195" s="138"/>
      <c r="M1195" s="33"/>
      <c r="N1195" s="135"/>
      <c r="O1195" s="90"/>
      <c r="P1195" s="139"/>
      <c r="Q1195" s="38"/>
      <c r="R1195" s="38"/>
      <c r="S1195" s="38"/>
      <c r="T1195" s="38"/>
      <c r="U1195" s="38"/>
      <c r="V1195" s="38"/>
    </row>
    <row r="1196">
      <c r="A1196" s="134"/>
      <c r="B1196" s="33"/>
      <c r="C1196" s="33"/>
      <c r="D1196" s="135"/>
      <c r="E1196" s="33"/>
      <c r="F1196" s="136"/>
      <c r="G1196" s="33"/>
      <c r="H1196" s="135"/>
      <c r="I1196" s="137"/>
      <c r="J1196" s="137"/>
      <c r="K1196" s="33"/>
      <c r="L1196" s="138"/>
      <c r="M1196" s="33"/>
      <c r="N1196" s="135"/>
      <c r="O1196" s="90"/>
      <c r="P1196" s="139"/>
      <c r="Q1196" s="38"/>
      <c r="R1196" s="38"/>
      <c r="S1196" s="38"/>
      <c r="T1196" s="38"/>
      <c r="U1196" s="38"/>
      <c r="V1196" s="38"/>
    </row>
    <row r="1197">
      <c r="A1197" s="134"/>
      <c r="B1197" s="33"/>
      <c r="C1197" s="33"/>
      <c r="D1197" s="135"/>
      <c r="E1197" s="33"/>
      <c r="F1197" s="136"/>
      <c r="G1197" s="33"/>
      <c r="H1197" s="135"/>
      <c r="I1197" s="137"/>
      <c r="J1197" s="137"/>
      <c r="K1197" s="33"/>
      <c r="L1197" s="138"/>
      <c r="M1197" s="33"/>
      <c r="N1197" s="135"/>
      <c r="O1197" s="90"/>
      <c r="P1197" s="139"/>
      <c r="Q1197" s="38"/>
      <c r="R1197" s="38"/>
      <c r="S1197" s="38"/>
      <c r="T1197" s="38"/>
      <c r="U1197" s="38"/>
      <c r="V1197" s="38"/>
    </row>
    <row r="1198">
      <c r="A1198" s="134"/>
      <c r="B1198" s="33"/>
      <c r="C1198" s="33"/>
      <c r="D1198" s="135"/>
      <c r="E1198" s="33"/>
      <c r="F1198" s="136"/>
      <c r="G1198" s="33"/>
      <c r="H1198" s="135"/>
      <c r="I1198" s="137"/>
      <c r="J1198" s="137"/>
      <c r="K1198" s="33"/>
      <c r="L1198" s="138"/>
      <c r="M1198" s="33"/>
      <c r="N1198" s="135"/>
      <c r="O1198" s="90"/>
      <c r="P1198" s="139"/>
      <c r="Q1198" s="38"/>
      <c r="R1198" s="38"/>
      <c r="S1198" s="38"/>
      <c r="T1198" s="38"/>
      <c r="U1198" s="38"/>
      <c r="V1198" s="38"/>
    </row>
    <row r="1199">
      <c r="A1199" s="134"/>
      <c r="B1199" s="33"/>
      <c r="C1199" s="33"/>
      <c r="D1199" s="135"/>
      <c r="E1199" s="33"/>
      <c r="F1199" s="136"/>
      <c r="G1199" s="33"/>
      <c r="H1199" s="135"/>
      <c r="I1199" s="137"/>
      <c r="J1199" s="137"/>
      <c r="K1199" s="33"/>
      <c r="L1199" s="138"/>
      <c r="M1199" s="33"/>
      <c r="N1199" s="135"/>
      <c r="O1199" s="90"/>
      <c r="P1199" s="139"/>
      <c r="Q1199" s="38"/>
      <c r="R1199" s="38"/>
      <c r="S1199" s="38"/>
      <c r="T1199" s="38"/>
      <c r="U1199" s="38"/>
      <c r="V1199" s="38"/>
    </row>
    <row r="1200">
      <c r="A1200" s="134"/>
      <c r="B1200" s="33"/>
      <c r="C1200" s="33"/>
      <c r="D1200" s="135"/>
      <c r="E1200" s="33"/>
      <c r="F1200" s="136"/>
      <c r="G1200" s="33"/>
      <c r="H1200" s="135"/>
      <c r="I1200" s="137"/>
      <c r="J1200" s="137"/>
      <c r="K1200" s="33"/>
      <c r="L1200" s="138"/>
      <c r="M1200" s="33"/>
      <c r="N1200" s="135"/>
      <c r="O1200" s="90"/>
      <c r="P1200" s="139"/>
      <c r="Q1200" s="38"/>
      <c r="R1200" s="38"/>
      <c r="S1200" s="38"/>
      <c r="T1200" s="38"/>
      <c r="U1200" s="38"/>
      <c r="V1200" s="38"/>
    </row>
    <row r="1201">
      <c r="A1201" s="134"/>
      <c r="B1201" s="33"/>
      <c r="C1201" s="33"/>
      <c r="D1201" s="135"/>
      <c r="E1201" s="33"/>
      <c r="F1201" s="136"/>
      <c r="G1201" s="33"/>
      <c r="H1201" s="135"/>
      <c r="I1201" s="137"/>
      <c r="J1201" s="137"/>
      <c r="K1201" s="33"/>
      <c r="L1201" s="138"/>
      <c r="M1201" s="33"/>
      <c r="N1201" s="135"/>
      <c r="O1201" s="90"/>
      <c r="P1201" s="139"/>
      <c r="Q1201" s="38"/>
      <c r="R1201" s="38"/>
      <c r="S1201" s="38"/>
      <c r="T1201" s="38"/>
      <c r="U1201" s="38"/>
      <c r="V1201" s="38"/>
    </row>
    <row r="1202">
      <c r="A1202" s="134"/>
      <c r="B1202" s="33"/>
      <c r="C1202" s="33"/>
      <c r="D1202" s="135"/>
      <c r="E1202" s="33"/>
      <c r="F1202" s="136"/>
      <c r="G1202" s="33"/>
      <c r="H1202" s="135"/>
      <c r="I1202" s="137"/>
      <c r="J1202" s="137"/>
      <c r="K1202" s="33"/>
      <c r="L1202" s="138"/>
      <c r="M1202" s="33"/>
      <c r="N1202" s="135"/>
      <c r="O1202" s="90"/>
      <c r="P1202" s="139"/>
      <c r="Q1202" s="38"/>
      <c r="R1202" s="38"/>
      <c r="S1202" s="38"/>
      <c r="T1202" s="38"/>
      <c r="U1202" s="38"/>
      <c r="V1202" s="38"/>
    </row>
    <row r="1203">
      <c r="A1203" s="134"/>
      <c r="B1203" s="33"/>
      <c r="C1203" s="33"/>
      <c r="D1203" s="135"/>
      <c r="E1203" s="33"/>
      <c r="F1203" s="136"/>
      <c r="G1203" s="33"/>
      <c r="H1203" s="135"/>
      <c r="I1203" s="137"/>
      <c r="J1203" s="137"/>
      <c r="K1203" s="33"/>
      <c r="L1203" s="138"/>
      <c r="M1203" s="33"/>
      <c r="N1203" s="135"/>
      <c r="O1203" s="90"/>
      <c r="P1203" s="139"/>
      <c r="Q1203" s="38"/>
      <c r="R1203" s="38"/>
      <c r="S1203" s="38"/>
      <c r="T1203" s="38"/>
      <c r="U1203" s="38"/>
      <c r="V1203" s="38"/>
    </row>
    <row r="1204">
      <c r="A1204" s="134"/>
      <c r="B1204" s="33"/>
      <c r="C1204" s="33"/>
      <c r="D1204" s="135"/>
      <c r="E1204" s="33"/>
      <c r="F1204" s="136"/>
      <c r="G1204" s="33"/>
      <c r="H1204" s="135"/>
      <c r="I1204" s="137"/>
      <c r="J1204" s="137"/>
      <c r="K1204" s="33"/>
      <c r="L1204" s="138"/>
      <c r="M1204" s="33"/>
      <c r="N1204" s="135"/>
      <c r="O1204" s="90"/>
      <c r="P1204" s="139"/>
      <c r="Q1204" s="38"/>
      <c r="R1204" s="38"/>
      <c r="S1204" s="38"/>
      <c r="T1204" s="38"/>
      <c r="U1204" s="38"/>
      <c r="V1204" s="38"/>
    </row>
    <row r="1205">
      <c r="A1205" s="134"/>
      <c r="B1205" s="33"/>
      <c r="C1205" s="33"/>
      <c r="D1205" s="135"/>
      <c r="E1205" s="33"/>
      <c r="F1205" s="136"/>
      <c r="G1205" s="33"/>
      <c r="H1205" s="135"/>
      <c r="I1205" s="137"/>
      <c r="J1205" s="137"/>
      <c r="K1205" s="33"/>
      <c r="L1205" s="138"/>
      <c r="M1205" s="33"/>
      <c r="N1205" s="135"/>
      <c r="O1205" s="90"/>
      <c r="P1205" s="139"/>
      <c r="Q1205" s="38"/>
      <c r="R1205" s="38"/>
      <c r="S1205" s="38"/>
      <c r="T1205" s="38"/>
      <c r="U1205" s="38"/>
      <c r="V1205" s="38"/>
    </row>
    <row r="1206">
      <c r="A1206" s="134"/>
      <c r="B1206" s="33"/>
      <c r="C1206" s="33"/>
      <c r="D1206" s="135"/>
      <c r="E1206" s="33"/>
      <c r="F1206" s="136"/>
      <c r="G1206" s="33"/>
      <c r="H1206" s="135"/>
      <c r="I1206" s="137"/>
      <c r="J1206" s="137"/>
      <c r="K1206" s="33"/>
      <c r="L1206" s="138"/>
      <c r="M1206" s="33"/>
      <c r="N1206" s="135"/>
      <c r="O1206" s="90"/>
      <c r="P1206" s="139"/>
      <c r="Q1206" s="38"/>
      <c r="R1206" s="38"/>
      <c r="S1206" s="38"/>
      <c r="T1206" s="38"/>
      <c r="U1206" s="38"/>
      <c r="V1206" s="38"/>
    </row>
    <row r="1207">
      <c r="A1207" s="134"/>
      <c r="B1207" s="33"/>
      <c r="C1207" s="33"/>
      <c r="D1207" s="135"/>
      <c r="E1207" s="33"/>
      <c r="F1207" s="136"/>
      <c r="G1207" s="33"/>
      <c r="H1207" s="135"/>
      <c r="I1207" s="137"/>
      <c r="J1207" s="137"/>
      <c r="K1207" s="33"/>
      <c r="L1207" s="138"/>
      <c r="M1207" s="33"/>
      <c r="N1207" s="135"/>
      <c r="O1207" s="90"/>
      <c r="P1207" s="139"/>
      <c r="Q1207" s="38"/>
      <c r="R1207" s="38"/>
      <c r="S1207" s="38"/>
      <c r="T1207" s="38"/>
      <c r="U1207" s="38"/>
      <c r="V1207" s="38"/>
    </row>
    <row r="1208">
      <c r="A1208" s="134"/>
      <c r="B1208" s="33"/>
      <c r="C1208" s="33"/>
      <c r="D1208" s="135"/>
      <c r="E1208" s="33"/>
      <c r="F1208" s="136"/>
      <c r="G1208" s="33"/>
      <c r="H1208" s="135"/>
      <c r="I1208" s="137"/>
      <c r="J1208" s="137"/>
      <c r="K1208" s="33"/>
      <c r="L1208" s="138"/>
      <c r="M1208" s="33"/>
      <c r="N1208" s="135"/>
      <c r="O1208" s="90"/>
      <c r="P1208" s="139"/>
      <c r="Q1208" s="38"/>
      <c r="R1208" s="38"/>
      <c r="S1208" s="38"/>
      <c r="T1208" s="38"/>
      <c r="U1208" s="38"/>
      <c r="V1208" s="38"/>
    </row>
    <row r="1209">
      <c r="A1209" s="134"/>
      <c r="B1209" s="33"/>
      <c r="C1209" s="33"/>
      <c r="D1209" s="135"/>
      <c r="E1209" s="33"/>
      <c r="F1209" s="136"/>
      <c r="G1209" s="33"/>
      <c r="H1209" s="135"/>
      <c r="I1209" s="137"/>
      <c r="J1209" s="137"/>
      <c r="K1209" s="33"/>
      <c r="L1209" s="138"/>
      <c r="M1209" s="33"/>
      <c r="N1209" s="135"/>
      <c r="O1209" s="90"/>
      <c r="P1209" s="139"/>
      <c r="Q1209" s="38"/>
      <c r="R1209" s="38"/>
      <c r="S1209" s="38"/>
      <c r="T1209" s="38"/>
      <c r="U1209" s="38"/>
      <c r="V1209" s="38"/>
    </row>
    <row r="1210">
      <c r="A1210" s="134"/>
      <c r="B1210" s="33"/>
      <c r="C1210" s="33"/>
      <c r="D1210" s="135"/>
      <c r="E1210" s="33"/>
      <c r="F1210" s="136"/>
      <c r="G1210" s="33"/>
      <c r="H1210" s="135"/>
      <c r="I1210" s="137"/>
      <c r="J1210" s="137"/>
      <c r="K1210" s="33"/>
      <c r="L1210" s="138"/>
      <c r="M1210" s="33"/>
      <c r="N1210" s="135"/>
      <c r="O1210" s="90"/>
      <c r="P1210" s="139"/>
      <c r="Q1210" s="38"/>
      <c r="R1210" s="38"/>
      <c r="S1210" s="38"/>
      <c r="T1210" s="38"/>
      <c r="U1210" s="38"/>
      <c r="V1210" s="38"/>
    </row>
    <row r="1211">
      <c r="A1211" s="134"/>
      <c r="B1211" s="33"/>
      <c r="C1211" s="33"/>
      <c r="D1211" s="135"/>
      <c r="E1211" s="33"/>
      <c r="F1211" s="136"/>
      <c r="G1211" s="33"/>
      <c r="H1211" s="135"/>
      <c r="I1211" s="137"/>
      <c r="J1211" s="137"/>
      <c r="K1211" s="33"/>
      <c r="L1211" s="138"/>
      <c r="M1211" s="33"/>
      <c r="N1211" s="135"/>
      <c r="O1211" s="90"/>
      <c r="P1211" s="139"/>
      <c r="Q1211" s="38"/>
      <c r="R1211" s="38"/>
      <c r="S1211" s="38"/>
      <c r="T1211" s="38"/>
      <c r="U1211" s="38"/>
      <c r="V1211" s="38"/>
    </row>
    <row r="1212">
      <c r="A1212" s="134"/>
      <c r="B1212" s="33"/>
      <c r="C1212" s="33"/>
      <c r="D1212" s="135"/>
      <c r="E1212" s="33"/>
      <c r="F1212" s="136"/>
      <c r="G1212" s="33"/>
      <c r="H1212" s="135"/>
      <c r="I1212" s="137"/>
      <c r="J1212" s="137"/>
      <c r="K1212" s="33"/>
      <c r="L1212" s="138"/>
      <c r="M1212" s="33"/>
      <c r="N1212" s="135"/>
      <c r="O1212" s="90"/>
      <c r="P1212" s="139"/>
      <c r="Q1212" s="38"/>
      <c r="R1212" s="38"/>
      <c r="S1212" s="38"/>
      <c r="T1212" s="38"/>
      <c r="U1212" s="38"/>
      <c r="V1212" s="38"/>
    </row>
    <row r="1213">
      <c r="A1213" s="134"/>
      <c r="B1213" s="33"/>
      <c r="C1213" s="33"/>
      <c r="D1213" s="135"/>
      <c r="E1213" s="33"/>
      <c r="F1213" s="136"/>
      <c r="G1213" s="33"/>
      <c r="H1213" s="135"/>
      <c r="I1213" s="137"/>
      <c r="J1213" s="137"/>
      <c r="K1213" s="33"/>
      <c r="L1213" s="138"/>
      <c r="M1213" s="33"/>
      <c r="N1213" s="135"/>
      <c r="O1213" s="90"/>
      <c r="P1213" s="139"/>
      <c r="Q1213" s="38"/>
      <c r="R1213" s="38"/>
      <c r="S1213" s="38"/>
      <c r="T1213" s="38"/>
      <c r="U1213" s="38"/>
      <c r="V1213" s="38"/>
    </row>
    <row r="1214">
      <c r="A1214" s="134"/>
      <c r="B1214" s="33"/>
      <c r="C1214" s="33"/>
      <c r="D1214" s="135"/>
      <c r="E1214" s="33"/>
      <c r="F1214" s="136"/>
      <c r="G1214" s="33"/>
      <c r="H1214" s="135"/>
      <c r="I1214" s="137"/>
      <c r="J1214" s="137"/>
      <c r="K1214" s="33"/>
      <c r="L1214" s="138"/>
      <c r="M1214" s="33"/>
      <c r="N1214" s="135"/>
      <c r="O1214" s="90"/>
      <c r="P1214" s="139"/>
      <c r="Q1214" s="38"/>
      <c r="R1214" s="38"/>
      <c r="S1214" s="38"/>
      <c r="T1214" s="38"/>
      <c r="U1214" s="38"/>
      <c r="V1214" s="38"/>
    </row>
    <row r="1215">
      <c r="A1215" s="134"/>
      <c r="B1215" s="33"/>
      <c r="C1215" s="33"/>
      <c r="D1215" s="135"/>
      <c r="E1215" s="33"/>
      <c r="F1215" s="136"/>
      <c r="G1215" s="33"/>
      <c r="H1215" s="135"/>
      <c r="I1215" s="137"/>
      <c r="J1215" s="137"/>
      <c r="K1215" s="33"/>
      <c r="L1215" s="138"/>
      <c r="M1215" s="33"/>
      <c r="N1215" s="135"/>
      <c r="O1215" s="90"/>
      <c r="P1215" s="139"/>
      <c r="Q1215" s="38"/>
      <c r="R1215" s="38"/>
      <c r="S1215" s="38"/>
      <c r="T1215" s="38"/>
      <c r="U1215" s="38"/>
      <c r="V1215" s="38"/>
    </row>
    <row r="1216">
      <c r="A1216" s="134"/>
      <c r="B1216" s="33"/>
      <c r="C1216" s="33"/>
      <c r="D1216" s="135"/>
      <c r="E1216" s="33"/>
      <c r="F1216" s="136"/>
      <c r="G1216" s="33"/>
      <c r="H1216" s="135"/>
      <c r="I1216" s="137"/>
      <c r="J1216" s="137"/>
      <c r="K1216" s="33"/>
      <c r="L1216" s="138"/>
      <c r="M1216" s="33"/>
      <c r="N1216" s="135"/>
      <c r="O1216" s="90"/>
      <c r="P1216" s="139"/>
      <c r="Q1216" s="38"/>
      <c r="R1216" s="38"/>
      <c r="S1216" s="38"/>
      <c r="T1216" s="38"/>
      <c r="U1216" s="38"/>
      <c r="V1216" s="38"/>
    </row>
    <row r="1217">
      <c r="A1217" s="134"/>
      <c r="B1217" s="33"/>
      <c r="C1217" s="33"/>
      <c r="D1217" s="135"/>
      <c r="E1217" s="33"/>
      <c r="F1217" s="136"/>
      <c r="G1217" s="33"/>
      <c r="H1217" s="135"/>
      <c r="I1217" s="137"/>
      <c r="J1217" s="137"/>
      <c r="K1217" s="33"/>
      <c r="L1217" s="138"/>
      <c r="M1217" s="33"/>
      <c r="N1217" s="135"/>
      <c r="O1217" s="90"/>
      <c r="P1217" s="139"/>
      <c r="Q1217" s="38"/>
      <c r="R1217" s="38"/>
      <c r="S1217" s="38"/>
      <c r="T1217" s="38"/>
      <c r="U1217" s="38"/>
      <c r="V1217" s="38"/>
    </row>
    <row r="1218">
      <c r="A1218" s="134"/>
      <c r="B1218" s="33"/>
      <c r="C1218" s="33"/>
      <c r="D1218" s="135"/>
      <c r="E1218" s="33"/>
      <c r="F1218" s="136"/>
      <c r="G1218" s="33"/>
      <c r="H1218" s="135"/>
      <c r="I1218" s="137"/>
      <c r="J1218" s="137"/>
      <c r="K1218" s="33"/>
      <c r="L1218" s="138"/>
      <c r="M1218" s="33"/>
      <c r="N1218" s="135"/>
      <c r="O1218" s="90"/>
      <c r="P1218" s="139"/>
      <c r="Q1218" s="38"/>
      <c r="R1218" s="38"/>
      <c r="S1218" s="38"/>
      <c r="T1218" s="38"/>
      <c r="U1218" s="38"/>
      <c r="V1218" s="38"/>
    </row>
    <row r="1219">
      <c r="A1219" s="134"/>
      <c r="B1219" s="33"/>
      <c r="C1219" s="33"/>
      <c r="D1219" s="135"/>
      <c r="E1219" s="33"/>
      <c r="F1219" s="136"/>
      <c r="G1219" s="33"/>
      <c r="H1219" s="135"/>
      <c r="I1219" s="137"/>
      <c r="J1219" s="137"/>
      <c r="K1219" s="33"/>
      <c r="L1219" s="138"/>
      <c r="M1219" s="33"/>
      <c r="N1219" s="135"/>
      <c r="O1219" s="90"/>
      <c r="P1219" s="139"/>
      <c r="Q1219" s="38"/>
      <c r="R1219" s="38"/>
      <c r="S1219" s="38"/>
      <c r="T1219" s="38"/>
      <c r="U1219" s="38"/>
      <c r="V1219" s="38"/>
    </row>
    <row r="1220">
      <c r="A1220" s="134"/>
      <c r="B1220" s="33"/>
      <c r="C1220" s="33"/>
      <c r="D1220" s="135"/>
      <c r="E1220" s="33"/>
      <c r="F1220" s="136"/>
      <c r="G1220" s="33"/>
      <c r="H1220" s="135"/>
      <c r="I1220" s="137"/>
      <c r="J1220" s="137"/>
      <c r="K1220" s="33"/>
      <c r="L1220" s="138"/>
      <c r="M1220" s="33"/>
      <c r="N1220" s="135"/>
      <c r="O1220" s="90"/>
      <c r="P1220" s="139"/>
      <c r="Q1220" s="38"/>
      <c r="R1220" s="38"/>
      <c r="S1220" s="38"/>
      <c r="T1220" s="38"/>
      <c r="U1220" s="38"/>
      <c r="V1220" s="38"/>
    </row>
    <row r="1221">
      <c r="A1221" s="134"/>
      <c r="B1221" s="33"/>
      <c r="C1221" s="33"/>
      <c r="D1221" s="135"/>
      <c r="E1221" s="33"/>
      <c r="F1221" s="136"/>
      <c r="G1221" s="33"/>
      <c r="H1221" s="135"/>
      <c r="I1221" s="137"/>
      <c r="J1221" s="137"/>
      <c r="K1221" s="33"/>
      <c r="L1221" s="138"/>
      <c r="M1221" s="33"/>
      <c r="N1221" s="135"/>
      <c r="O1221" s="90"/>
      <c r="P1221" s="139"/>
      <c r="Q1221" s="38"/>
      <c r="R1221" s="38"/>
      <c r="S1221" s="38"/>
      <c r="T1221" s="38"/>
      <c r="U1221" s="38"/>
      <c r="V1221" s="38"/>
    </row>
    <row r="1222">
      <c r="A1222" s="134"/>
      <c r="B1222" s="33"/>
      <c r="C1222" s="33"/>
      <c r="D1222" s="135"/>
      <c r="E1222" s="33"/>
      <c r="F1222" s="136"/>
      <c r="G1222" s="33"/>
      <c r="H1222" s="135"/>
      <c r="I1222" s="137"/>
      <c r="J1222" s="137"/>
      <c r="K1222" s="33"/>
      <c r="L1222" s="138"/>
      <c r="M1222" s="33"/>
      <c r="N1222" s="135"/>
      <c r="O1222" s="90"/>
      <c r="P1222" s="139"/>
      <c r="Q1222" s="38"/>
      <c r="R1222" s="38"/>
      <c r="S1222" s="38"/>
      <c r="T1222" s="38"/>
      <c r="U1222" s="38"/>
      <c r="V1222" s="38"/>
    </row>
    <row r="1223">
      <c r="A1223" s="134"/>
      <c r="B1223" s="33"/>
      <c r="C1223" s="33"/>
      <c r="D1223" s="135"/>
      <c r="E1223" s="33"/>
      <c r="F1223" s="136"/>
      <c r="G1223" s="33"/>
      <c r="H1223" s="135"/>
      <c r="I1223" s="137"/>
      <c r="J1223" s="137"/>
      <c r="K1223" s="33"/>
      <c r="L1223" s="138"/>
      <c r="M1223" s="33"/>
      <c r="N1223" s="135"/>
      <c r="O1223" s="90"/>
      <c r="P1223" s="139"/>
      <c r="Q1223" s="38"/>
      <c r="R1223" s="38"/>
      <c r="S1223" s="38"/>
      <c r="T1223" s="38"/>
      <c r="U1223" s="38"/>
      <c r="V1223" s="38"/>
    </row>
    <row r="1224">
      <c r="A1224" s="134"/>
      <c r="B1224" s="33"/>
      <c r="C1224" s="33"/>
      <c r="D1224" s="135"/>
      <c r="E1224" s="33"/>
      <c r="F1224" s="136"/>
      <c r="G1224" s="33"/>
      <c r="H1224" s="135"/>
      <c r="I1224" s="137"/>
      <c r="J1224" s="137"/>
      <c r="K1224" s="33"/>
      <c r="L1224" s="138"/>
      <c r="M1224" s="33"/>
      <c r="N1224" s="135"/>
      <c r="O1224" s="90"/>
      <c r="P1224" s="139"/>
      <c r="Q1224" s="38"/>
      <c r="R1224" s="38"/>
      <c r="S1224" s="38"/>
      <c r="T1224" s="38"/>
      <c r="U1224" s="38"/>
      <c r="V1224" s="38"/>
    </row>
    <row r="1225">
      <c r="A1225" s="134"/>
      <c r="B1225" s="33"/>
      <c r="C1225" s="33"/>
      <c r="D1225" s="135"/>
      <c r="E1225" s="33"/>
      <c r="F1225" s="136"/>
      <c r="G1225" s="33"/>
      <c r="H1225" s="135"/>
      <c r="I1225" s="137"/>
      <c r="J1225" s="137"/>
      <c r="K1225" s="33"/>
      <c r="L1225" s="138"/>
      <c r="M1225" s="33"/>
      <c r="N1225" s="135"/>
      <c r="O1225" s="90"/>
      <c r="P1225" s="139"/>
      <c r="Q1225" s="38"/>
      <c r="R1225" s="38"/>
      <c r="S1225" s="38"/>
      <c r="T1225" s="38"/>
      <c r="U1225" s="38"/>
      <c r="V1225" s="38"/>
    </row>
    <row r="1226">
      <c r="A1226" s="134"/>
      <c r="B1226" s="33"/>
      <c r="C1226" s="33"/>
      <c r="D1226" s="135"/>
      <c r="E1226" s="33"/>
      <c r="F1226" s="136"/>
      <c r="G1226" s="33"/>
      <c r="H1226" s="135"/>
      <c r="I1226" s="137"/>
      <c r="J1226" s="137"/>
      <c r="K1226" s="33"/>
      <c r="L1226" s="138"/>
      <c r="M1226" s="33"/>
      <c r="N1226" s="135"/>
      <c r="O1226" s="90"/>
      <c r="P1226" s="139"/>
      <c r="Q1226" s="38"/>
      <c r="R1226" s="38"/>
      <c r="S1226" s="38"/>
      <c r="T1226" s="38"/>
      <c r="U1226" s="38"/>
      <c r="V1226" s="38"/>
    </row>
    <row r="1227">
      <c r="A1227" s="134"/>
      <c r="B1227" s="33"/>
      <c r="C1227" s="33"/>
      <c r="D1227" s="135"/>
      <c r="E1227" s="33"/>
      <c r="F1227" s="136"/>
      <c r="G1227" s="33"/>
      <c r="H1227" s="135"/>
      <c r="I1227" s="137"/>
      <c r="J1227" s="137"/>
      <c r="K1227" s="33"/>
      <c r="L1227" s="138"/>
      <c r="M1227" s="33"/>
      <c r="N1227" s="135"/>
      <c r="O1227" s="90"/>
      <c r="P1227" s="139"/>
      <c r="Q1227" s="38"/>
      <c r="R1227" s="38"/>
      <c r="S1227" s="38"/>
      <c r="T1227" s="38"/>
      <c r="U1227" s="38"/>
      <c r="V1227" s="38"/>
    </row>
    <row r="1228">
      <c r="A1228" s="134"/>
      <c r="B1228" s="33"/>
      <c r="C1228" s="33"/>
      <c r="D1228" s="135"/>
      <c r="E1228" s="33"/>
      <c r="F1228" s="136"/>
      <c r="G1228" s="33"/>
      <c r="H1228" s="135"/>
      <c r="I1228" s="137"/>
      <c r="J1228" s="137"/>
      <c r="K1228" s="33"/>
      <c r="L1228" s="138"/>
      <c r="M1228" s="33"/>
      <c r="N1228" s="135"/>
      <c r="O1228" s="90"/>
      <c r="P1228" s="139"/>
      <c r="Q1228" s="38"/>
      <c r="R1228" s="38"/>
      <c r="S1228" s="38"/>
      <c r="T1228" s="38"/>
      <c r="U1228" s="38"/>
      <c r="V1228" s="38"/>
    </row>
    <row r="1229">
      <c r="A1229" s="134"/>
      <c r="B1229" s="33"/>
      <c r="C1229" s="33"/>
      <c r="D1229" s="135"/>
      <c r="E1229" s="33"/>
      <c r="F1229" s="136"/>
      <c r="G1229" s="33"/>
      <c r="H1229" s="135"/>
      <c r="I1229" s="137"/>
      <c r="J1229" s="137"/>
      <c r="K1229" s="33"/>
      <c r="L1229" s="138"/>
      <c r="M1229" s="33"/>
      <c r="N1229" s="135"/>
      <c r="O1229" s="90"/>
      <c r="P1229" s="139"/>
      <c r="Q1229" s="38"/>
      <c r="R1229" s="38"/>
      <c r="S1229" s="38"/>
      <c r="T1229" s="38"/>
      <c r="U1229" s="38"/>
      <c r="V1229" s="38"/>
    </row>
    <row r="1230">
      <c r="A1230" s="134"/>
      <c r="B1230" s="33"/>
      <c r="C1230" s="33"/>
      <c r="D1230" s="135"/>
      <c r="E1230" s="33"/>
      <c r="F1230" s="136"/>
      <c r="G1230" s="33"/>
      <c r="H1230" s="135"/>
      <c r="I1230" s="137"/>
      <c r="J1230" s="137"/>
      <c r="K1230" s="33"/>
      <c r="L1230" s="138"/>
      <c r="M1230" s="33"/>
      <c r="N1230" s="135"/>
      <c r="O1230" s="90"/>
      <c r="P1230" s="139"/>
      <c r="Q1230" s="38"/>
      <c r="R1230" s="38"/>
      <c r="S1230" s="38"/>
      <c r="T1230" s="38"/>
      <c r="U1230" s="38"/>
      <c r="V1230" s="38"/>
    </row>
    <row r="1231">
      <c r="A1231" s="134"/>
      <c r="B1231" s="33"/>
      <c r="C1231" s="33"/>
      <c r="D1231" s="135"/>
      <c r="E1231" s="33"/>
      <c r="F1231" s="136"/>
      <c r="G1231" s="33"/>
      <c r="H1231" s="135"/>
      <c r="I1231" s="137"/>
      <c r="J1231" s="137"/>
      <c r="K1231" s="33"/>
      <c r="L1231" s="138"/>
      <c r="M1231" s="33"/>
      <c r="N1231" s="135"/>
      <c r="O1231" s="90"/>
      <c r="P1231" s="139"/>
      <c r="Q1231" s="38"/>
      <c r="R1231" s="38"/>
      <c r="S1231" s="38"/>
      <c r="T1231" s="38"/>
      <c r="U1231" s="38"/>
      <c r="V1231" s="38"/>
    </row>
    <row r="1232">
      <c r="A1232" s="134"/>
      <c r="B1232" s="33"/>
      <c r="C1232" s="33"/>
      <c r="D1232" s="135"/>
      <c r="E1232" s="33"/>
      <c r="F1232" s="136"/>
      <c r="G1232" s="33"/>
      <c r="H1232" s="135"/>
      <c r="I1232" s="137"/>
      <c r="J1232" s="137"/>
      <c r="K1232" s="33"/>
      <c r="L1232" s="138"/>
      <c r="M1232" s="33"/>
      <c r="N1232" s="135"/>
      <c r="O1232" s="90"/>
      <c r="P1232" s="139"/>
      <c r="Q1232" s="38"/>
      <c r="R1232" s="38"/>
      <c r="S1232" s="38"/>
      <c r="T1232" s="38"/>
      <c r="U1232" s="38"/>
      <c r="V1232" s="38"/>
    </row>
    <row r="1233">
      <c r="A1233" s="134"/>
      <c r="B1233" s="33"/>
      <c r="C1233" s="33"/>
      <c r="D1233" s="135"/>
      <c r="E1233" s="33"/>
      <c r="F1233" s="136"/>
      <c r="G1233" s="33"/>
      <c r="H1233" s="135"/>
      <c r="I1233" s="137"/>
      <c r="J1233" s="137"/>
      <c r="K1233" s="33"/>
      <c r="L1233" s="138"/>
      <c r="M1233" s="33"/>
      <c r="N1233" s="135"/>
      <c r="O1233" s="90"/>
      <c r="P1233" s="139"/>
      <c r="Q1233" s="38"/>
      <c r="R1233" s="38"/>
      <c r="S1233" s="38"/>
      <c r="T1233" s="38"/>
      <c r="U1233" s="38"/>
      <c r="V1233" s="38"/>
    </row>
    <row r="1234">
      <c r="A1234" s="134"/>
      <c r="B1234" s="33"/>
      <c r="C1234" s="33"/>
      <c r="D1234" s="135"/>
      <c r="E1234" s="33"/>
      <c r="F1234" s="136"/>
      <c r="G1234" s="33"/>
      <c r="H1234" s="135"/>
      <c r="I1234" s="137"/>
      <c r="J1234" s="137"/>
      <c r="K1234" s="33"/>
      <c r="L1234" s="138"/>
      <c r="M1234" s="33"/>
      <c r="N1234" s="135"/>
      <c r="O1234" s="90"/>
      <c r="P1234" s="139"/>
      <c r="Q1234" s="38"/>
      <c r="R1234" s="38"/>
      <c r="S1234" s="38"/>
      <c r="T1234" s="38"/>
      <c r="U1234" s="38"/>
      <c r="V1234" s="38"/>
    </row>
    <row r="1235">
      <c r="A1235" s="134"/>
      <c r="B1235" s="33"/>
      <c r="C1235" s="33"/>
      <c r="D1235" s="135"/>
      <c r="E1235" s="33"/>
      <c r="F1235" s="136"/>
      <c r="G1235" s="33"/>
      <c r="H1235" s="135"/>
      <c r="I1235" s="137"/>
      <c r="J1235" s="137"/>
      <c r="K1235" s="33"/>
      <c r="L1235" s="138"/>
      <c r="M1235" s="33"/>
      <c r="N1235" s="135"/>
      <c r="O1235" s="90"/>
      <c r="P1235" s="139"/>
      <c r="Q1235" s="38"/>
      <c r="R1235" s="38"/>
      <c r="S1235" s="38"/>
      <c r="T1235" s="38"/>
      <c r="U1235" s="38"/>
      <c r="V1235" s="38"/>
    </row>
    <row r="1236">
      <c r="A1236" s="134"/>
      <c r="B1236" s="33"/>
      <c r="C1236" s="33"/>
      <c r="D1236" s="135"/>
      <c r="E1236" s="33"/>
      <c r="F1236" s="136"/>
      <c r="G1236" s="33"/>
      <c r="H1236" s="135"/>
      <c r="I1236" s="137"/>
      <c r="J1236" s="137"/>
      <c r="K1236" s="33"/>
      <c r="L1236" s="138"/>
      <c r="M1236" s="33"/>
      <c r="N1236" s="135"/>
      <c r="O1236" s="90"/>
      <c r="P1236" s="139"/>
      <c r="Q1236" s="38"/>
      <c r="R1236" s="38"/>
      <c r="S1236" s="38"/>
      <c r="T1236" s="38"/>
      <c r="U1236" s="38"/>
      <c r="V1236" s="38"/>
    </row>
    <row r="1237">
      <c r="A1237" s="134"/>
      <c r="B1237" s="33"/>
      <c r="C1237" s="33"/>
      <c r="D1237" s="135"/>
      <c r="E1237" s="33"/>
      <c r="F1237" s="136"/>
      <c r="G1237" s="33"/>
      <c r="H1237" s="135"/>
      <c r="I1237" s="137"/>
      <c r="J1237" s="137"/>
      <c r="K1237" s="33"/>
      <c r="L1237" s="138"/>
      <c r="M1237" s="33"/>
      <c r="N1237" s="135"/>
      <c r="O1237" s="90"/>
      <c r="P1237" s="139"/>
      <c r="Q1237" s="38"/>
      <c r="R1237" s="38"/>
      <c r="S1237" s="38"/>
      <c r="T1237" s="38"/>
      <c r="U1237" s="38"/>
      <c r="V1237" s="38"/>
    </row>
    <row r="1238">
      <c r="A1238" s="134"/>
      <c r="B1238" s="33"/>
      <c r="C1238" s="33"/>
      <c r="D1238" s="135"/>
      <c r="E1238" s="33"/>
      <c r="F1238" s="136"/>
      <c r="G1238" s="33"/>
      <c r="H1238" s="135"/>
      <c r="I1238" s="137"/>
      <c r="J1238" s="137"/>
      <c r="K1238" s="33"/>
      <c r="L1238" s="138"/>
      <c r="M1238" s="33"/>
      <c r="N1238" s="135"/>
      <c r="O1238" s="90"/>
      <c r="P1238" s="139"/>
      <c r="Q1238" s="38"/>
      <c r="R1238" s="38"/>
      <c r="S1238" s="38"/>
      <c r="T1238" s="38"/>
      <c r="U1238" s="38"/>
      <c r="V1238" s="38"/>
    </row>
    <row r="1239">
      <c r="A1239" s="134"/>
      <c r="B1239" s="33"/>
      <c r="C1239" s="33"/>
      <c r="D1239" s="135"/>
      <c r="E1239" s="33"/>
      <c r="F1239" s="136"/>
      <c r="G1239" s="33"/>
      <c r="H1239" s="135"/>
      <c r="I1239" s="137"/>
      <c r="J1239" s="137"/>
      <c r="K1239" s="33"/>
      <c r="L1239" s="138"/>
      <c r="M1239" s="33"/>
      <c r="N1239" s="135"/>
      <c r="O1239" s="90"/>
      <c r="P1239" s="139"/>
      <c r="Q1239" s="38"/>
      <c r="R1239" s="38"/>
      <c r="S1239" s="38"/>
      <c r="T1239" s="38"/>
      <c r="U1239" s="38"/>
      <c r="V1239" s="38"/>
    </row>
    <row r="1240">
      <c r="A1240" s="134"/>
      <c r="B1240" s="33"/>
      <c r="C1240" s="33"/>
      <c r="D1240" s="135"/>
      <c r="E1240" s="33"/>
      <c r="F1240" s="136"/>
      <c r="G1240" s="33"/>
      <c r="H1240" s="135"/>
      <c r="I1240" s="137"/>
      <c r="J1240" s="137"/>
      <c r="K1240" s="33"/>
      <c r="L1240" s="138"/>
      <c r="M1240" s="33"/>
      <c r="N1240" s="135"/>
      <c r="O1240" s="90"/>
      <c r="P1240" s="139"/>
      <c r="Q1240" s="38"/>
      <c r="R1240" s="38"/>
      <c r="S1240" s="38"/>
      <c r="T1240" s="38"/>
      <c r="U1240" s="38"/>
      <c r="V1240" s="38"/>
    </row>
    <row r="1241">
      <c r="A1241" s="134"/>
      <c r="B1241" s="33"/>
      <c r="C1241" s="33"/>
      <c r="D1241" s="135"/>
      <c r="E1241" s="33"/>
      <c r="F1241" s="136"/>
      <c r="G1241" s="33"/>
      <c r="H1241" s="135"/>
      <c r="I1241" s="137"/>
      <c r="J1241" s="137"/>
      <c r="K1241" s="33"/>
      <c r="L1241" s="138"/>
      <c r="M1241" s="33"/>
      <c r="N1241" s="135"/>
      <c r="O1241" s="90"/>
      <c r="P1241" s="139"/>
      <c r="Q1241" s="38"/>
      <c r="R1241" s="38"/>
      <c r="S1241" s="38"/>
      <c r="T1241" s="38"/>
      <c r="U1241" s="38"/>
      <c r="V1241" s="38"/>
    </row>
    <row r="1242">
      <c r="A1242" s="134"/>
      <c r="B1242" s="33"/>
      <c r="C1242" s="33"/>
      <c r="D1242" s="135"/>
      <c r="E1242" s="33"/>
      <c r="F1242" s="136"/>
      <c r="G1242" s="33"/>
      <c r="H1242" s="135"/>
      <c r="I1242" s="137"/>
      <c r="J1242" s="137"/>
      <c r="K1242" s="33"/>
      <c r="L1242" s="138"/>
      <c r="M1242" s="33"/>
      <c r="N1242" s="135"/>
      <c r="O1242" s="90"/>
      <c r="P1242" s="139"/>
      <c r="Q1242" s="38"/>
      <c r="R1242" s="38"/>
      <c r="S1242" s="38"/>
      <c r="T1242" s="38"/>
      <c r="U1242" s="38"/>
      <c r="V1242" s="38"/>
    </row>
    <row r="1243">
      <c r="A1243" s="134"/>
      <c r="B1243" s="33"/>
      <c r="C1243" s="33"/>
      <c r="D1243" s="135"/>
      <c r="E1243" s="33"/>
      <c r="F1243" s="136"/>
      <c r="G1243" s="33"/>
      <c r="H1243" s="135"/>
      <c r="I1243" s="137"/>
      <c r="J1243" s="137"/>
      <c r="K1243" s="33"/>
      <c r="L1243" s="138"/>
      <c r="M1243" s="33"/>
      <c r="N1243" s="135"/>
      <c r="O1243" s="90"/>
      <c r="P1243" s="139"/>
      <c r="Q1243" s="38"/>
      <c r="R1243" s="38"/>
      <c r="S1243" s="38"/>
      <c r="T1243" s="38"/>
      <c r="U1243" s="38"/>
      <c r="V1243" s="38"/>
    </row>
    <row r="1244">
      <c r="A1244" s="134"/>
      <c r="B1244" s="33"/>
      <c r="C1244" s="33"/>
      <c r="D1244" s="135"/>
      <c r="E1244" s="33"/>
      <c r="F1244" s="136"/>
      <c r="G1244" s="33"/>
      <c r="H1244" s="135"/>
      <c r="I1244" s="137"/>
      <c r="J1244" s="137"/>
      <c r="K1244" s="33"/>
      <c r="L1244" s="138"/>
      <c r="M1244" s="33"/>
      <c r="N1244" s="135"/>
      <c r="O1244" s="90"/>
      <c r="P1244" s="139"/>
      <c r="Q1244" s="38"/>
      <c r="R1244" s="38"/>
      <c r="S1244" s="38"/>
      <c r="T1244" s="38"/>
      <c r="U1244" s="38"/>
      <c r="V1244" s="38"/>
    </row>
    <row r="1245">
      <c r="A1245" s="134"/>
      <c r="B1245" s="33"/>
      <c r="C1245" s="33"/>
      <c r="D1245" s="135"/>
      <c r="E1245" s="33"/>
      <c r="F1245" s="136"/>
      <c r="G1245" s="33"/>
      <c r="H1245" s="135"/>
      <c r="I1245" s="137"/>
      <c r="J1245" s="137"/>
      <c r="K1245" s="33"/>
      <c r="L1245" s="138"/>
      <c r="M1245" s="33"/>
      <c r="N1245" s="135"/>
      <c r="O1245" s="90"/>
      <c r="P1245" s="139"/>
      <c r="Q1245" s="38"/>
      <c r="R1245" s="38"/>
      <c r="S1245" s="38"/>
      <c r="T1245" s="38"/>
      <c r="U1245" s="38"/>
      <c r="V1245" s="38"/>
    </row>
    <row r="1246">
      <c r="A1246" s="134"/>
      <c r="B1246" s="33"/>
      <c r="C1246" s="33"/>
      <c r="D1246" s="135"/>
      <c r="E1246" s="33"/>
      <c r="F1246" s="136"/>
      <c r="G1246" s="33"/>
      <c r="H1246" s="135"/>
      <c r="I1246" s="137"/>
      <c r="J1246" s="137"/>
      <c r="K1246" s="33"/>
      <c r="L1246" s="138"/>
      <c r="M1246" s="33"/>
      <c r="N1246" s="135"/>
      <c r="O1246" s="90"/>
      <c r="P1246" s="139"/>
      <c r="Q1246" s="38"/>
      <c r="R1246" s="38"/>
      <c r="S1246" s="38"/>
      <c r="T1246" s="38"/>
      <c r="U1246" s="38"/>
      <c r="V1246" s="38"/>
    </row>
    <row r="1247">
      <c r="A1247" s="134"/>
      <c r="B1247" s="33"/>
      <c r="C1247" s="33"/>
      <c r="D1247" s="135"/>
      <c r="E1247" s="33"/>
      <c r="F1247" s="136"/>
      <c r="G1247" s="33"/>
      <c r="H1247" s="135"/>
      <c r="I1247" s="137"/>
      <c r="J1247" s="137"/>
      <c r="K1247" s="33"/>
      <c r="L1247" s="138"/>
      <c r="M1247" s="33"/>
      <c r="N1247" s="135"/>
      <c r="O1247" s="90"/>
      <c r="P1247" s="139"/>
      <c r="Q1247" s="38"/>
      <c r="R1247" s="38"/>
      <c r="S1247" s="38"/>
      <c r="T1247" s="38"/>
      <c r="U1247" s="38"/>
      <c r="V1247" s="38"/>
    </row>
    <row r="1248">
      <c r="A1248" s="134"/>
      <c r="B1248" s="33"/>
      <c r="C1248" s="33"/>
      <c r="D1248" s="135"/>
      <c r="E1248" s="33"/>
      <c r="F1248" s="136"/>
      <c r="G1248" s="33"/>
      <c r="H1248" s="135"/>
      <c r="I1248" s="137"/>
      <c r="J1248" s="137"/>
      <c r="K1248" s="33"/>
      <c r="L1248" s="138"/>
      <c r="M1248" s="33"/>
      <c r="N1248" s="135"/>
      <c r="O1248" s="90"/>
      <c r="P1248" s="139"/>
      <c r="Q1248" s="38"/>
      <c r="R1248" s="38"/>
      <c r="S1248" s="38"/>
      <c r="T1248" s="38"/>
      <c r="U1248" s="38"/>
      <c r="V1248" s="38"/>
    </row>
    <row r="1249">
      <c r="A1249" s="134"/>
      <c r="B1249" s="33"/>
      <c r="C1249" s="33"/>
      <c r="D1249" s="135"/>
      <c r="E1249" s="33"/>
      <c r="F1249" s="136"/>
      <c r="G1249" s="33"/>
      <c r="H1249" s="135"/>
      <c r="I1249" s="137"/>
      <c r="J1249" s="137"/>
      <c r="K1249" s="33"/>
      <c r="L1249" s="138"/>
      <c r="M1249" s="33"/>
      <c r="N1249" s="135"/>
      <c r="O1249" s="90"/>
      <c r="P1249" s="139"/>
      <c r="Q1249" s="38"/>
      <c r="R1249" s="38"/>
      <c r="S1249" s="38"/>
      <c r="T1249" s="38"/>
      <c r="U1249" s="38"/>
      <c r="V1249" s="38"/>
    </row>
    <row r="1250">
      <c r="A1250" s="134"/>
      <c r="B1250" s="33"/>
      <c r="C1250" s="33"/>
      <c r="D1250" s="135"/>
      <c r="E1250" s="33"/>
      <c r="F1250" s="136"/>
      <c r="G1250" s="33"/>
      <c r="H1250" s="135"/>
      <c r="I1250" s="137"/>
      <c r="J1250" s="137"/>
      <c r="K1250" s="33"/>
      <c r="L1250" s="138"/>
      <c r="M1250" s="33"/>
      <c r="N1250" s="135"/>
      <c r="O1250" s="90"/>
      <c r="P1250" s="139"/>
      <c r="Q1250" s="38"/>
      <c r="R1250" s="38"/>
      <c r="S1250" s="38"/>
      <c r="T1250" s="38"/>
      <c r="U1250" s="38"/>
      <c r="V1250" s="38"/>
    </row>
    <row r="1251">
      <c r="A1251" s="134"/>
      <c r="B1251" s="33"/>
      <c r="C1251" s="33"/>
      <c r="D1251" s="135"/>
      <c r="E1251" s="33"/>
      <c r="F1251" s="136"/>
      <c r="G1251" s="33"/>
      <c r="H1251" s="135"/>
      <c r="I1251" s="137"/>
      <c r="J1251" s="137"/>
      <c r="K1251" s="33"/>
      <c r="L1251" s="138"/>
      <c r="M1251" s="33"/>
      <c r="N1251" s="135"/>
      <c r="O1251" s="90"/>
      <c r="P1251" s="139"/>
      <c r="Q1251" s="38"/>
      <c r="R1251" s="38"/>
      <c r="S1251" s="38"/>
      <c r="T1251" s="38"/>
      <c r="U1251" s="38"/>
      <c r="V1251" s="38"/>
    </row>
    <row r="1252">
      <c r="A1252" s="134"/>
      <c r="B1252" s="33"/>
      <c r="C1252" s="33"/>
      <c r="D1252" s="135"/>
      <c r="E1252" s="33"/>
      <c r="F1252" s="136"/>
      <c r="G1252" s="33"/>
      <c r="H1252" s="135"/>
      <c r="I1252" s="137"/>
      <c r="J1252" s="137"/>
      <c r="K1252" s="33"/>
      <c r="L1252" s="138"/>
      <c r="M1252" s="33"/>
      <c r="N1252" s="135"/>
      <c r="O1252" s="90"/>
      <c r="P1252" s="139"/>
      <c r="Q1252" s="38"/>
      <c r="R1252" s="38"/>
      <c r="S1252" s="38"/>
      <c r="T1252" s="38"/>
      <c r="U1252" s="38"/>
      <c r="V1252" s="38"/>
    </row>
    <row r="1253">
      <c r="A1253" s="134"/>
      <c r="B1253" s="33"/>
      <c r="C1253" s="33"/>
      <c r="D1253" s="135"/>
      <c r="E1253" s="33"/>
      <c r="F1253" s="136"/>
      <c r="G1253" s="33"/>
      <c r="H1253" s="135"/>
      <c r="I1253" s="137"/>
      <c r="J1253" s="137"/>
      <c r="K1253" s="33"/>
      <c r="L1253" s="138"/>
      <c r="M1253" s="33"/>
      <c r="N1253" s="135"/>
      <c r="O1253" s="90"/>
      <c r="P1253" s="139"/>
      <c r="Q1253" s="38"/>
      <c r="R1253" s="38"/>
      <c r="S1253" s="38"/>
      <c r="T1253" s="38"/>
      <c r="U1253" s="38"/>
      <c r="V1253" s="38"/>
    </row>
    <row r="1254">
      <c r="A1254" s="134"/>
      <c r="B1254" s="33"/>
      <c r="C1254" s="33"/>
      <c r="D1254" s="135"/>
      <c r="E1254" s="33"/>
      <c r="F1254" s="136"/>
      <c r="G1254" s="33"/>
      <c r="H1254" s="135"/>
      <c r="I1254" s="137"/>
      <c r="J1254" s="137"/>
      <c r="K1254" s="33"/>
      <c r="L1254" s="138"/>
      <c r="M1254" s="33"/>
      <c r="N1254" s="135"/>
      <c r="O1254" s="90"/>
      <c r="P1254" s="139"/>
      <c r="Q1254" s="38"/>
      <c r="R1254" s="38"/>
      <c r="S1254" s="38"/>
      <c r="T1254" s="38"/>
      <c r="U1254" s="38"/>
      <c r="V1254" s="38"/>
    </row>
    <row r="1255">
      <c r="A1255" s="134"/>
      <c r="B1255" s="33"/>
      <c r="C1255" s="33"/>
      <c r="D1255" s="135"/>
      <c r="E1255" s="33"/>
      <c r="F1255" s="136"/>
      <c r="G1255" s="33"/>
      <c r="H1255" s="135"/>
      <c r="I1255" s="137"/>
      <c r="J1255" s="137"/>
      <c r="K1255" s="33"/>
      <c r="L1255" s="138"/>
      <c r="M1255" s="33"/>
      <c r="N1255" s="135"/>
      <c r="O1255" s="90"/>
      <c r="P1255" s="139"/>
      <c r="Q1255" s="38"/>
      <c r="R1255" s="38"/>
      <c r="S1255" s="38"/>
      <c r="T1255" s="38"/>
      <c r="U1255" s="38"/>
      <c r="V1255" s="38"/>
    </row>
    <row r="1256">
      <c r="A1256" s="134"/>
      <c r="B1256" s="33"/>
      <c r="C1256" s="33"/>
      <c r="D1256" s="135"/>
      <c r="E1256" s="33"/>
      <c r="F1256" s="136"/>
      <c r="G1256" s="33"/>
      <c r="H1256" s="135"/>
      <c r="I1256" s="137"/>
      <c r="J1256" s="137"/>
      <c r="K1256" s="33"/>
      <c r="L1256" s="138"/>
      <c r="M1256" s="33"/>
      <c r="N1256" s="135"/>
      <c r="O1256" s="90"/>
      <c r="P1256" s="139"/>
      <c r="Q1256" s="38"/>
      <c r="R1256" s="38"/>
      <c r="S1256" s="38"/>
      <c r="T1256" s="38"/>
      <c r="U1256" s="38"/>
      <c r="V1256" s="38"/>
    </row>
    <row r="1257">
      <c r="A1257" s="134"/>
      <c r="B1257" s="33"/>
      <c r="C1257" s="33"/>
      <c r="D1257" s="135"/>
      <c r="E1257" s="33"/>
      <c r="F1257" s="136"/>
      <c r="G1257" s="33"/>
      <c r="H1257" s="135"/>
      <c r="I1257" s="137"/>
      <c r="J1257" s="137"/>
      <c r="K1257" s="33"/>
      <c r="L1257" s="138"/>
      <c r="M1257" s="33"/>
      <c r="N1257" s="135"/>
      <c r="O1257" s="90"/>
      <c r="P1257" s="139"/>
      <c r="Q1257" s="38"/>
      <c r="R1257" s="38"/>
      <c r="S1257" s="38"/>
      <c r="T1257" s="38"/>
      <c r="U1257" s="38"/>
      <c r="V1257" s="38"/>
    </row>
    <row r="1258">
      <c r="A1258" s="134"/>
      <c r="B1258" s="33"/>
      <c r="C1258" s="33"/>
      <c r="D1258" s="135"/>
      <c r="E1258" s="33"/>
      <c r="F1258" s="136"/>
      <c r="G1258" s="33"/>
      <c r="H1258" s="135"/>
      <c r="I1258" s="137"/>
      <c r="J1258" s="137"/>
      <c r="K1258" s="33"/>
      <c r="L1258" s="138"/>
      <c r="M1258" s="33"/>
      <c r="N1258" s="135"/>
      <c r="O1258" s="90"/>
      <c r="P1258" s="139"/>
      <c r="Q1258" s="38"/>
      <c r="R1258" s="38"/>
      <c r="S1258" s="38"/>
      <c r="T1258" s="38"/>
      <c r="U1258" s="38"/>
      <c r="V1258" s="38"/>
    </row>
    <row r="1259">
      <c r="A1259" s="134"/>
      <c r="B1259" s="33"/>
      <c r="C1259" s="33"/>
      <c r="D1259" s="135"/>
      <c r="E1259" s="33"/>
      <c r="F1259" s="136"/>
      <c r="G1259" s="33"/>
      <c r="H1259" s="135"/>
      <c r="I1259" s="137"/>
      <c r="J1259" s="137"/>
      <c r="K1259" s="33"/>
      <c r="L1259" s="138"/>
      <c r="M1259" s="33"/>
      <c r="N1259" s="135"/>
      <c r="O1259" s="90"/>
      <c r="P1259" s="139"/>
      <c r="Q1259" s="38"/>
      <c r="R1259" s="38"/>
      <c r="S1259" s="38"/>
      <c r="T1259" s="38"/>
      <c r="U1259" s="38"/>
      <c r="V1259" s="38"/>
    </row>
    <row r="1260">
      <c r="A1260" s="134"/>
      <c r="B1260" s="33"/>
      <c r="C1260" s="33"/>
      <c r="D1260" s="135"/>
      <c r="E1260" s="33"/>
      <c r="F1260" s="136"/>
      <c r="G1260" s="33"/>
      <c r="H1260" s="135"/>
      <c r="I1260" s="137"/>
      <c r="J1260" s="137"/>
      <c r="K1260" s="33"/>
      <c r="L1260" s="138"/>
      <c r="M1260" s="33"/>
      <c r="N1260" s="135"/>
      <c r="O1260" s="90"/>
      <c r="P1260" s="139"/>
      <c r="Q1260" s="38"/>
      <c r="R1260" s="38"/>
      <c r="S1260" s="38"/>
      <c r="T1260" s="38"/>
      <c r="U1260" s="38"/>
      <c r="V1260" s="38"/>
    </row>
    <row r="1261">
      <c r="A1261" s="134"/>
      <c r="B1261" s="33"/>
      <c r="C1261" s="33"/>
      <c r="D1261" s="135"/>
      <c r="E1261" s="33"/>
      <c r="F1261" s="136"/>
      <c r="G1261" s="33"/>
      <c r="H1261" s="135"/>
      <c r="I1261" s="137"/>
      <c r="J1261" s="137"/>
      <c r="K1261" s="33"/>
      <c r="L1261" s="138"/>
      <c r="M1261" s="33"/>
      <c r="N1261" s="135"/>
      <c r="O1261" s="90"/>
      <c r="P1261" s="139"/>
      <c r="Q1261" s="38"/>
      <c r="R1261" s="38"/>
      <c r="S1261" s="38"/>
      <c r="T1261" s="38"/>
      <c r="U1261" s="38"/>
      <c r="V1261" s="38"/>
    </row>
    <row r="1262">
      <c r="A1262" s="134"/>
      <c r="B1262" s="33"/>
      <c r="C1262" s="33"/>
      <c r="D1262" s="135"/>
      <c r="E1262" s="33"/>
      <c r="F1262" s="136"/>
      <c r="G1262" s="33"/>
      <c r="H1262" s="135"/>
      <c r="I1262" s="137"/>
      <c r="J1262" s="137"/>
      <c r="K1262" s="33"/>
      <c r="L1262" s="138"/>
      <c r="M1262" s="33"/>
      <c r="N1262" s="135"/>
      <c r="O1262" s="90"/>
      <c r="P1262" s="139"/>
      <c r="Q1262" s="38"/>
      <c r="R1262" s="38"/>
      <c r="S1262" s="38"/>
      <c r="T1262" s="38"/>
      <c r="U1262" s="38"/>
      <c r="V1262" s="38"/>
    </row>
    <row r="1263">
      <c r="A1263" s="134"/>
      <c r="B1263" s="33"/>
      <c r="C1263" s="33"/>
      <c r="D1263" s="135"/>
      <c r="E1263" s="33"/>
      <c r="F1263" s="136"/>
      <c r="G1263" s="33"/>
      <c r="H1263" s="135"/>
      <c r="I1263" s="137"/>
      <c r="J1263" s="137"/>
      <c r="K1263" s="33"/>
      <c r="L1263" s="138"/>
      <c r="M1263" s="33"/>
      <c r="N1263" s="135"/>
      <c r="O1263" s="90"/>
      <c r="P1263" s="139"/>
      <c r="Q1263" s="38"/>
      <c r="R1263" s="38"/>
      <c r="S1263" s="38"/>
      <c r="T1263" s="38"/>
      <c r="U1263" s="38"/>
      <c r="V1263" s="38"/>
    </row>
    <row r="1264">
      <c r="A1264" s="134"/>
      <c r="B1264" s="33"/>
      <c r="C1264" s="33"/>
      <c r="D1264" s="135"/>
      <c r="E1264" s="33"/>
      <c r="F1264" s="136"/>
      <c r="G1264" s="33"/>
      <c r="H1264" s="135"/>
      <c r="I1264" s="137"/>
      <c r="J1264" s="137"/>
      <c r="K1264" s="33"/>
      <c r="L1264" s="138"/>
      <c r="M1264" s="33"/>
      <c r="N1264" s="135"/>
      <c r="O1264" s="90"/>
      <c r="P1264" s="139"/>
      <c r="Q1264" s="38"/>
      <c r="R1264" s="38"/>
      <c r="S1264" s="38"/>
      <c r="T1264" s="38"/>
      <c r="U1264" s="38"/>
      <c r="V1264" s="38"/>
    </row>
    <row r="1265">
      <c r="A1265" s="134"/>
      <c r="B1265" s="33"/>
      <c r="C1265" s="33"/>
      <c r="D1265" s="135"/>
      <c r="E1265" s="33"/>
      <c r="F1265" s="136"/>
      <c r="G1265" s="33"/>
      <c r="H1265" s="135"/>
      <c r="I1265" s="137"/>
      <c r="J1265" s="137"/>
      <c r="K1265" s="33"/>
      <c r="L1265" s="138"/>
      <c r="M1265" s="33"/>
      <c r="N1265" s="135"/>
      <c r="O1265" s="90"/>
      <c r="P1265" s="139"/>
      <c r="Q1265" s="38"/>
      <c r="R1265" s="38"/>
      <c r="S1265" s="38"/>
      <c r="T1265" s="38"/>
      <c r="U1265" s="38"/>
      <c r="V1265" s="38"/>
    </row>
    <row r="1266">
      <c r="A1266" s="134"/>
      <c r="B1266" s="33"/>
      <c r="C1266" s="33"/>
      <c r="D1266" s="135"/>
      <c r="E1266" s="33"/>
      <c r="F1266" s="136"/>
      <c r="G1266" s="33"/>
      <c r="H1266" s="135"/>
      <c r="I1266" s="137"/>
      <c r="J1266" s="137"/>
      <c r="K1266" s="33"/>
      <c r="L1266" s="138"/>
      <c r="M1266" s="33"/>
      <c r="N1266" s="135"/>
      <c r="O1266" s="90"/>
      <c r="P1266" s="139"/>
      <c r="Q1266" s="38"/>
      <c r="R1266" s="38"/>
      <c r="S1266" s="38"/>
      <c r="T1266" s="38"/>
      <c r="U1266" s="38"/>
      <c r="V1266" s="38"/>
    </row>
    <row r="1267">
      <c r="A1267" s="134"/>
      <c r="B1267" s="33"/>
      <c r="C1267" s="33"/>
      <c r="D1267" s="135"/>
      <c r="E1267" s="33"/>
      <c r="F1267" s="136"/>
      <c r="G1267" s="33"/>
      <c r="H1267" s="135"/>
      <c r="I1267" s="137"/>
      <c r="J1267" s="137"/>
      <c r="K1267" s="33"/>
      <c r="L1267" s="138"/>
      <c r="M1267" s="33"/>
      <c r="N1267" s="135"/>
      <c r="O1267" s="90"/>
      <c r="P1267" s="139"/>
      <c r="Q1267" s="38"/>
      <c r="R1267" s="38"/>
      <c r="S1267" s="38"/>
      <c r="T1267" s="38"/>
      <c r="U1267" s="38"/>
      <c r="V1267" s="38"/>
    </row>
    <row r="1268">
      <c r="A1268" s="134"/>
      <c r="B1268" s="33"/>
      <c r="C1268" s="33"/>
      <c r="D1268" s="135"/>
      <c r="E1268" s="33"/>
      <c r="F1268" s="136"/>
      <c r="G1268" s="33"/>
      <c r="H1268" s="135"/>
      <c r="I1268" s="137"/>
      <c r="J1268" s="137"/>
      <c r="K1268" s="33"/>
      <c r="L1268" s="138"/>
      <c r="M1268" s="33"/>
      <c r="N1268" s="135"/>
      <c r="O1268" s="90"/>
      <c r="P1268" s="139"/>
      <c r="Q1268" s="38"/>
      <c r="R1268" s="38"/>
      <c r="S1268" s="38"/>
      <c r="T1268" s="38"/>
      <c r="U1268" s="38"/>
      <c r="V1268" s="38"/>
    </row>
    <row r="1269">
      <c r="A1269" s="134"/>
      <c r="B1269" s="33"/>
      <c r="C1269" s="33"/>
      <c r="D1269" s="135"/>
      <c r="E1269" s="33"/>
      <c r="F1269" s="136"/>
      <c r="G1269" s="33"/>
      <c r="H1269" s="135"/>
      <c r="I1269" s="137"/>
      <c r="J1269" s="137"/>
      <c r="K1269" s="33"/>
      <c r="L1269" s="138"/>
      <c r="M1269" s="33"/>
      <c r="N1269" s="135"/>
      <c r="O1269" s="90"/>
      <c r="P1269" s="139"/>
      <c r="Q1269" s="38"/>
      <c r="R1269" s="38"/>
      <c r="S1269" s="38"/>
      <c r="T1269" s="38"/>
      <c r="U1269" s="38"/>
      <c r="V1269" s="38"/>
    </row>
    <row r="1270">
      <c r="A1270" s="134"/>
      <c r="B1270" s="33"/>
      <c r="C1270" s="33"/>
      <c r="D1270" s="135"/>
      <c r="E1270" s="33"/>
      <c r="F1270" s="136"/>
      <c r="G1270" s="33"/>
      <c r="H1270" s="135"/>
      <c r="I1270" s="137"/>
      <c r="J1270" s="137"/>
      <c r="K1270" s="33"/>
      <c r="L1270" s="138"/>
      <c r="M1270" s="33"/>
      <c r="N1270" s="135"/>
      <c r="O1270" s="90"/>
      <c r="P1270" s="139"/>
      <c r="Q1270" s="38"/>
      <c r="R1270" s="38"/>
      <c r="S1270" s="38"/>
      <c r="T1270" s="38"/>
      <c r="U1270" s="38"/>
      <c r="V1270" s="38"/>
    </row>
    <row r="1271">
      <c r="A1271" s="134"/>
      <c r="B1271" s="33"/>
      <c r="C1271" s="33"/>
      <c r="D1271" s="135"/>
      <c r="E1271" s="33"/>
      <c r="F1271" s="136"/>
      <c r="G1271" s="33"/>
      <c r="H1271" s="135"/>
      <c r="I1271" s="137"/>
      <c r="J1271" s="137"/>
      <c r="K1271" s="33"/>
      <c r="L1271" s="138"/>
      <c r="M1271" s="33"/>
      <c r="N1271" s="135"/>
      <c r="O1271" s="90"/>
      <c r="P1271" s="139"/>
      <c r="Q1271" s="38"/>
      <c r="R1271" s="38"/>
      <c r="S1271" s="38"/>
      <c r="T1271" s="38"/>
      <c r="U1271" s="38"/>
      <c r="V1271" s="38"/>
    </row>
    <row r="1272">
      <c r="A1272" s="134"/>
      <c r="B1272" s="33"/>
      <c r="C1272" s="33"/>
      <c r="D1272" s="135"/>
      <c r="E1272" s="33"/>
      <c r="F1272" s="136"/>
      <c r="G1272" s="33"/>
      <c r="H1272" s="135"/>
      <c r="I1272" s="137"/>
      <c r="J1272" s="137"/>
      <c r="K1272" s="33"/>
      <c r="L1272" s="138"/>
      <c r="M1272" s="33"/>
      <c r="N1272" s="135"/>
      <c r="O1272" s="90"/>
      <c r="P1272" s="139"/>
      <c r="Q1272" s="38"/>
      <c r="R1272" s="38"/>
      <c r="S1272" s="38"/>
      <c r="T1272" s="38"/>
      <c r="U1272" s="38"/>
      <c r="V1272" s="38"/>
    </row>
    <row r="1273">
      <c r="A1273" s="134"/>
      <c r="B1273" s="33"/>
      <c r="C1273" s="33"/>
      <c r="D1273" s="135"/>
      <c r="E1273" s="33"/>
      <c r="F1273" s="136"/>
      <c r="G1273" s="33"/>
      <c r="H1273" s="135"/>
      <c r="I1273" s="137"/>
      <c r="J1273" s="137"/>
      <c r="K1273" s="33"/>
      <c r="L1273" s="138"/>
      <c r="M1273" s="33"/>
      <c r="N1273" s="135"/>
      <c r="O1273" s="90"/>
      <c r="P1273" s="139"/>
      <c r="Q1273" s="38"/>
      <c r="R1273" s="38"/>
      <c r="S1273" s="38"/>
      <c r="T1273" s="38"/>
      <c r="U1273" s="38"/>
      <c r="V1273" s="38"/>
    </row>
    <row r="1274">
      <c r="A1274" s="134"/>
      <c r="B1274" s="33"/>
      <c r="C1274" s="33"/>
      <c r="D1274" s="135"/>
      <c r="E1274" s="33"/>
      <c r="F1274" s="136"/>
      <c r="G1274" s="33"/>
      <c r="H1274" s="135"/>
      <c r="I1274" s="137"/>
      <c r="J1274" s="137"/>
      <c r="K1274" s="33"/>
      <c r="L1274" s="138"/>
      <c r="M1274" s="33"/>
      <c r="N1274" s="135"/>
      <c r="O1274" s="90"/>
      <c r="P1274" s="139"/>
      <c r="Q1274" s="38"/>
      <c r="R1274" s="38"/>
      <c r="S1274" s="38"/>
      <c r="T1274" s="38"/>
      <c r="U1274" s="38"/>
      <c r="V1274" s="38"/>
    </row>
    <row r="1275">
      <c r="A1275" s="134"/>
      <c r="B1275" s="33"/>
      <c r="C1275" s="33"/>
      <c r="D1275" s="135"/>
      <c r="E1275" s="33"/>
      <c r="F1275" s="136"/>
      <c r="G1275" s="33"/>
      <c r="H1275" s="135"/>
      <c r="I1275" s="137"/>
      <c r="J1275" s="137"/>
      <c r="K1275" s="33"/>
      <c r="L1275" s="138"/>
      <c r="M1275" s="33"/>
      <c r="N1275" s="135"/>
      <c r="O1275" s="90"/>
      <c r="P1275" s="139"/>
      <c r="Q1275" s="38"/>
      <c r="R1275" s="38"/>
      <c r="S1275" s="38"/>
      <c r="T1275" s="38"/>
      <c r="U1275" s="38"/>
      <c r="V1275" s="38"/>
    </row>
    <row r="1276">
      <c r="A1276" s="134"/>
      <c r="B1276" s="33"/>
      <c r="C1276" s="33"/>
      <c r="D1276" s="135"/>
      <c r="E1276" s="33"/>
      <c r="F1276" s="136"/>
      <c r="G1276" s="33"/>
      <c r="H1276" s="135"/>
      <c r="I1276" s="137"/>
      <c r="J1276" s="137"/>
      <c r="K1276" s="33"/>
      <c r="L1276" s="138"/>
      <c r="M1276" s="33"/>
      <c r="N1276" s="135"/>
      <c r="O1276" s="90"/>
      <c r="P1276" s="139"/>
      <c r="Q1276" s="38"/>
      <c r="R1276" s="38"/>
      <c r="S1276" s="38"/>
      <c r="T1276" s="38"/>
      <c r="U1276" s="38"/>
      <c r="V1276" s="38"/>
    </row>
    <row r="1277">
      <c r="A1277" s="134"/>
      <c r="B1277" s="33"/>
      <c r="C1277" s="33"/>
      <c r="D1277" s="135"/>
      <c r="E1277" s="33"/>
      <c r="F1277" s="136"/>
      <c r="G1277" s="33"/>
      <c r="H1277" s="135"/>
      <c r="I1277" s="137"/>
      <c r="J1277" s="137"/>
      <c r="K1277" s="33"/>
      <c r="L1277" s="138"/>
      <c r="M1277" s="33"/>
      <c r="N1277" s="135"/>
      <c r="O1277" s="90"/>
      <c r="P1277" s="139"/>
      <c r="Q1277" s="38"/>
      <c r="R1277" s="38"/>
      <c r="S1277" s="38"/>
      <c r="T1277" s="38"/>
      <c r="U1277" s="38"/>
      <c r="V1277" s="38"/>
    </row>
    <row r="1278">
      <c r="A1278" s="134"/>
      <c r="B1278" s="33"/>
      <c r="C1278" s="33"/>
      <c r="D1278" s="135"/>
      <c r="E1278" s="33"/>
      <c r="F1278" s="136"/>
      <c r="G1278" s="33"/>
      <c r="H1278" s="135"/>
      <c r="I1278" s="137"/>
      <c r="J1278" s="137"/>
      <c r="K1278" s="33"/>
      <c r="L1278" s="138"/>
      <c r="M1278" s="33"/>
      <c r="N1278" s="135"/>
      <c r="O1278" s="90"/>
      <c r="P1278" s="139"/>
      <c r="Q1278" s="38"/>
      <c r="R1278" s="38"/>
      <c r="S1278" s="38"/>
      <c r="T1278" s="38"/>
      <c r="U1278" s="38"/>
      <c r="V1278" s="38"/>
    </row>
    <row r="1279">
      <c r="A1279" s="134"/>
      <c r="B1279" s="33"/>
      <c r="C1279" s="33"/>
      <c r="D1279" s="135"/>
      <c r="E1279" s="33"/>
      <c r="F1279" s="136"/>
      <c r="G1279" s="33"/>
      <c r="H1279" s="135"/>
      <c r="I1279" s="137"/>
      <c r="J1279" s="137"/>
      <c r="K1279" s="33"/>
      <c r="L1279" s="138"/>
      <c r="M1279" s="33"/>
      <c r="N1279" s="135"/>
      <c r="O1279" s="90"/>
      <c r="P1279" s="139"/>
      <c r="Q1279" s="38"/>
      <c r="R1279" s="38"/>
      <c r="S1279" s="38"/>
      <c r="T1279" s="38"/>
      <c r="U1279" s="38"/>
      <c r="V1279" s="38"/>
    </row>
    <row r="1280">
      <c r="A1280" s="134"/>
      <c r="B1280" s="33"/>
      <c r="C1280" s="33"/>
      <c r="D1280" s="135"/>
      <c r="E1280" s="33"/>
      <c r="F1280" s="136"/>
      <c r="G1280" s="33"/>
      <c r="H1280" s="135"/>
      <c r="I1280" s="137"/>
      <c r="J1280" s="137"/>
      <c r="K1280" s="33"/>
      <c r="L1280" s="138"/>
      <c r="M1280" s="33"/>
      <c r="N1280" s="135"/>
      <c r="O1280" s="90"/>
      <c r="P1280" s="139"/>
      <c r="Q1280" s="38"/>
      <c r="R1280" s="38"/>
      <c r="S1280" s="38"/>
      <c r="T1280" s="38"/>
      <c r="U1280" s="38"/>
      <c r="V1280" s="38"/>
    </row>
    <row r="1281">
      <c r="A1281" s="134"/>
      <c r="B1281" s="33"/>
      <c r="C1281" s="33"/>
      <c r="D1281" s="135"/>
      <c r="E1281" s="33"/>
      <c r="F1281" s="136"/>
      <c r="G1281" s="33"/>
      <c r="H1281" s="135"/>
      <c r="I1281" s="137"/>
      <c r="J1281" s="137"/>
      <c r="K1281" s="33"/>
      <c r="L1281" s="138"/>
      <c r="M1281" s="33"/>
      <c r="N1281" s="135"/>
      <c r="O1281" s="90"/>
      <c r="P1281" s="139"/>
      <c r="Q1281" s="38"/>
      <c r="R1281" s="38"/>
      <c r="S1281" s="38"/>
      <c r="T1281" s="38"/>
      <c r="U1281" s="38"/>
      <c r="V1281" s="38"/>
    </row>
    <row r="1282">
      <c r="A1282" s="134"/>
      <c r="B1282" s="33"/>
      <c r="C1282" s="33"/>
      <c r="D1282" s="135"/>
      <c r="E1282" s="33"/>
      <c r="F1282" s="136"/>
      <c r="G1282" s="33"/>
      <c r="H1282" s="135"/>
      <c r="I1282" s="137"/>
      <c r="J1282" s="137"/>
      <c r="K1282" s="33"/>
      <c r="L1282" s="138"/>
      <c r="M1282" s="33"/>
      <c r="N1282" s="135"/>
      <c r="O1282" s="90"/>
      <c r="P1282" s="139"/>
      <c r="Q1282" s="38"/>
      <c r="R1282" s="38"/>
      <c r="S1282" s="38"/>
      <c r="T1282" s="38"/>
      <c r="U1282" s="38"/>
      <c r="V1282" s="38"/>
    </row>
    <row r="1283">
      <c r="A1283" s="134"/>
      <c r="B1283" s="33"/>
      <c r="C1283" s="33"/>
      <c r="D1283" s="135"/>
      <c r="E1283" s="33"/>
      <c r="F1283" s="136"/>
      <c r="G1283" s="33"/>
      <c r="H1283" s="135"/>
      <c r="I1283" s="137"/>
      <c r="J1283" s="137"/>
      <c r="K1283" s="33"/>
      <c r="L1283" s="138"/>
      <c r="M1283" s="33"/>
      <c r="N1283" s="135"/>
      <c r="O1283" s="90"/>
      <c r="P1283" s="139"/>
      <c r="Q1283" s="38"/>
      <c r="R1283" s="38"/>
      <c r="S1283" s="38"/>
      <c r="T1283" s="38"/>
      <c r="U1283" s="38"/>
      <c r="V1283" s="38"/>
    </row>
    <row r="1284">
      <c r="A1284" s="134"/>
      <c r="B1284" s="33"/>
      <c r="C1284" s="33"/>
      <c r="D1284" s="135"/>
      <c r="E1284" s="33"/>
      <c r="F1284" s="136"/>
      <c r="G1284" s="33"/>
      <c r="H1284" s="135"/>
      <c r="I1284" s="137"/>
      <c r="J1284" s="137"/>
      <c r="K1284" s="33"/>
      <c r="L1284" s="138"/>
      <c r="M1284" s="33"/>
      <c r="N1284" s="135"/>
      <c r="O1284" s="90"/>
      <c r="P1284" s="139"/>
      <c r="Q1284" s="38"/>
      <c r="R1284" s="38"/>
      <c r="S1284" s="38"/>
      <c r="T1284" s="38"/>
      <c r="U1284" s="38"/>
      <c r="V1284" s="38"/>
    </row>
    <row r="1285">
      <c r="A1285" s="134"/>
      <c r="B1285" s="33"/>
      <c r="C1285" s="33"/>
      <c r="D1285" s="135"/>
      <c r="E1285" s="33"/>
      <c r="F1285" s="136"/>
      <c r="G1285" s="33"/>
      <c r="H1285" s="135"/>
      <c r="I1285" s="137"/>
      <c r="J1285" s="137"/>
      <c r="K1285" s="33"/>
      <c r="L1285" s="138"/>
      <c r="M1285" s="33"/>
      <c r="N1285" s="135"/>
      <c r="O1285" s="90"/>
      <c r="P1285" s="139"/>
      <c r="Q1285" s="38"/>
      <c r="R1285" s="38"/>
      <c r="S1285" s="38"/>
      <c r="T1285" s="38"/>
      <c r="U1285" s="38"/>
      <c r="V1285" s="38"/>
    </row>
    <row r="1286">
      <c r="A1286" s="134"/>
      <c r="B1286" s="33"/>
      <c r="C1286" s="33"/>
      <c r="D1286" s="135"/>
      <c r="E1286" s="33"/>
      <c r="F1286" s="136"/>
      <c r="G1286" s="33"/>
      <c r="H1286" s="135"/>
      <c r="I1286" s="137"/>
      <c r="J1286" s="137"/>
      <c r="K1286" s="33"/>
      <c r="L1286" s="138"/>
      <c r="M1286" s="33"/>
      <c r="N1286" s="135"/>
      <c r="O1286" s="90"/>
      <c r="P1286" s="139"/>
      <c r="Q1286" s="38"/>
      <c r="R1286" s="38"/>
      <c r="S1286" s="38"/>
      <c r="T1286" s="38"/>
      <c r="U1286" s="38"/>
      <c r="V1286" s="38"/>
    </row>
    <row r="1287">
      <c r="A1287" s="134"/>
      <c r="B1287" s="33"/>
      <c r="C1287" s="33"/>
      <c r="D1287" s="135"/>
      <c r="E1287" s="33"/>
      <c r="F1287" s="136"/>
      <c r="G1287" s="33"/>
      <c r="H1287" s="135"/>
      <c r="I1287" s="137"/>
      <c r="J1287" s="137"/>
      <c r="K1287" s="33"/>
      <c r="L1287" s="138"/>
      <c r="M1287" s="33"/>
      <c r="N1287" s="135"/>
      <c r="O1287" s="90"/>
      <c r="P1287" s="139"/>
      <c r="Q1287" s="38"/>
      <c r="R1287" s="38"/>
      <c r="S1287" s="38"/>
      <c r="T1287" s="38"/>
      <c r="U1287" s="38"/>
      <c r="V1287" s="38"/>
    </row>
    <row r="1288">
      <c r="A1288" s="134"/>
      <c r="B1288" s="33"/>
      <c r="C1288" s="33"/>
      <c r="D1288" s="135"/>
      <c r="E1288" s="33"/>
      <c r="F1288" s="136"/>
      <c r="G1288" s="33"/>
      <c r="H1288" s="135"/>
      <c r="I1288" s="137"/>
      <c r="J1288" s="137"/>
      <c r="K1288" s="33"/>
      <c r="L1288" s="138"/>
      <c r="M1288" s="33"/>
      <c r="N1288" s="135"/>
      <c r="O1288" s="90"/>
      <c r="P1288" s="139"/>
      <c r="Q1288" s="38"/>
      <c r="R1288" s="38"/>
      <c r="S1288" s="38"/>
      <c r="T1288" s="38"/>
      <c r="U1288" s="38"/>
      <c r="V1288" s="38"/>
    </row>
    <row r="1289">
      <c r="A1289" s="134"/>
      <c r="B1289" s="33"/>
      <c r="C1289" s="33"/>
      <c r="D1289" s="135"/>
      <c r="E1289" s="33"/>
      <c r="F1289" s="136"/>
      <c r="G1289" s="33"/>
      <c r="H1289" s="135"/>
      <c r="I1289" s="137"/>
      <c r="J1289" s="137"/>
      <c r="K1289" s="33"/>
      <c r="L1289" s="138"/>
      <c r="M1289" s="33"/>
      <c r="N1289" s="135"/>
      <c r="O1289" s="90"/>
      <c r="P1289" s="139"/>
      <c r="Q1289" s="38"/>
      <c r="R1289" s="38"/>
      <c r="S1289" s="38"/>
      <c r="T1289" s="38"/>
      <c r="U1289" s="38"/>
      <c r="V1289" s="38"/>
    </row>
    <row r="1290">
      <c r="A1290" s="134"/>
      <c r="B1290" s="33"/>
      <c r="C1290" s="33"/>
      <c r="D1290" s="135"/>
      <c r="E1290" s="33"/>
      <c r="F1290" s="136"/>
      <c r="G1290" s="33"/>
      <c r="H1290" s="135"/>
      <c r="I1290" s="137"/>
      <c r="J1290" s="137"/>
      <c r="K1290" s="33"/>
      <c r="L1290" s="138"/>
      <c r="M1290" s="33"/>
      <c r="N1290" s="135"/>
      <c r="O1290" s="90"/>
      <c r="P1290" s="139"/>
      <c r="Q1290" s="38"/>
      <c r="R1290" s="38"/>
      <c r="S1290" s="38"/>
      <c r="T1290" s="38"/>
      <c r="U1290" s="38"/>
      <c r="V1290" s="38"/>
    </row>
    <row r="1291">
      <c r="A1291" s="134"/>
      <c r="B1291" s="33"/>
      <c r="C1291" s="33"/>
      <c r="D1291" s="135"/>
      <c r="E1291" s="33"/>
      <c r="F1291" s="136"/>
      <c r="G1291" s="33"/>
      <c r="H1291" s="135"/>
      <c r="I1291" s="137"/>
      <c r="J1291" s="137"/>
      <c r="K1291" s="33"/>
      <c r="L1291" s="138"/>
      <c r="M1291" s="33"/>
      <c r="N1291" s="135"/>
      <c r="O1291" s="90"/>
      <c r="P1291" s="139"/>
      <c r="Q1291" s="38"/>
      <c r="R1291" s="38"/>
      <c r="S1291" s="38"/>
      <c r="T1291" s="38"/>
      <c r="U1291" s="38"/>
      <c r="V1291" s="38"/>
    </row>
    <row r="1292">
      <c r="A1292" s="134"/>
      <c r="B1292" s="33"/>
      <c r="C1292" s="33"/>
      <c r="D1292" s="135"/>
      <c r="E1292" s="33"/>
      <c r="F1292" s="136"/>
      <c r="G1292" s="33"/>
      <c r="H1292" s="135"/>
      <c r="I1292" s="137"/>
      <c r="J1292" s="137"/>
      <c r="K1292" s="33"/>
      <c r="L1292" s="138"/>
      <c r="M1292" s="33"/>
      <c r="N1292" s="135"/>
      <c r="O1292" s="90"/>
      <c r="P1292" s="139"/>
      <c r="Q1292" s="38"/>
      <c r="R1292" s="38"/>
      <c r="S1292" s="38"/>
      <c r="T1292" s="38"/>
      <c r="U1292" s="38"/>
      <c r="V1292" s="38"/>
    </row>
    <row r="1293">
      <c r="A1293" s="134"/>
      <c r="B1293" s="33"/>
      <c r="C1293" s="33"/>
      <c r="D1293" s="135"/>
      <c r="E1293" s="33"/>
      <c r="F1293" s="136"/>
      <c r="G1293" s="33"/>
      <c r="H1293" s="135"/>
      <c r="I1293" s="137"/>
      <c r="J1293" s="137"/>
      <c r="K1293" s="33"/>
      <c r="L1293" s="138"/>
      <c r="M1293" s="33"/>
      <c r="N1293" s="135"/>
      <c r="O1293" s="90"/>
      <c r="P1293" s="139"/>
      <c r="Q1293" s="38"/>
      <c r="R1293" s="38"/>
      <c r="S1293" s="38"/>
      <c r="T1293" s="38"/>
      <c r="U1293" s="38"/>
      <c r="V1293" s="38"/>
    </row>
    <row r="1294">
      <c r="A1294" s="134"/>
      <c r="B1294" s="33"/>
      <c r="C1294" s="33"/>
      <c r="D1294" s="135"/>
      <c r="E1294" s="33"/>
      <c r="F1294" s="136"/>
      <c r="G1294" s="33"/>
      <c r="H1294" s="135"/>
      <c r="I1294" s="137"/>
      <c r="J1294" s="137"/>
      <c r="K1294" s="33"/>
      <c r="L1294" s="138"/>
      <c r="M1294" s="33"/>
      <c r="N1294" s="135"/>
      <c r="O1294" s="90"/>
      <c r="P1294" s="139"/>
      <c r="Q1294" s="38"/>
      <c r="R1294" s="38"/>
      <c r="S1294" s="38"/>
      <c r="T1294" s="38"/>
      <c r="U1294" s="38"/>
      <c r="V1294" s="38"/>
    </row>
    <row r="1295">
      <c r="A1295" s="134"/>
      <c r="B1295" s="33"/>
      <c r="C1295" s="33"/>
      <c r="D1295" s="135"/>
      <c r="E1295" s="33"/>
      <c r="F1295" s="136"/>
      <c r="G1295" s="33"/>
      <c r="H1295" s="135"/>
      <c r="I1295" s="137"/>
      <c r="J1295" s="137"/>
      <c r="K1295" s="33"/>
      <c r="L1295" s="138"/>
      <c r="M1295" s="33"/>
      <c r="N1295" s="135"/>
      <c r="O1295" s="90"/>
      <c r="P1295" s="139"/>
      <c r="Q1295" s="38"/>
      <c r="R1295" s="38"/>
      <c r="S1295" s="38"/>
      <c r="T1295" s="38"/>
      <c r="U1295" s="38"/>
      <c r="V1295" s="38"/>
    </row>
    <row r="1296">
      <c r="A1296" s="134"/>
      <c r="B1296" s="33"/>
      <c r="C1296" s="33"/>
      <c r="D1296" s="135"/>
      <c r="E1296" s="33"/>
      <c r="F1296" s="136"/>
      <c r="G1296" s="33"/>
      <c r="H1296" s="135"/>
      <c r="I1296" s="137"/>
      <c r="J1296" s="137"/>
      <c r="K1296" s="33"/>
      <c r="L1296" s="138"/>
      <c r="M1296" s="33"/>
      <c r="N1296" s="135"/>
      <c r="O1296" s="90"/>
      <c r="P1296" s="139"/>
      <c r="Q1296" s="38"/>
      <c r="R1296" s="38"/>
      <c r="S1296" s="38"/>
      <c r="T1296" s="38"/>
      <c r="U1296" s="38"/>
      <c r="V1296" s="38"/>
    </row>
    <row r="1297">
      <c r="A1297" s="134"/>
      <c r="B1297" s="33"/>
      <c r="C1297" s="33"/>
      <c r="D1297" s="135"/>
      <c r="E1297" s="33"/>
      <c r="F1297" s="136"/>
      <c r="G1297" s="33"/>
      <c r="H1297" s="135"/>
      <c r="I1297" s="137"/>
      <c r="J1297" s="137"/>
      <c r="K1297" s="33"/>
      <c r="L1297" s="138"/>
      <c r="M1297" s="33"/>
      <c r="N1297" s="135"/>
      <c r="O1297" s="90"/>
      <c r="P1297" s="139"/>
      <c r="Q1297" s="38"/>
      <c r="R1297" s="38"/>
      <c r="S1297" s="38"/>
      <c r="T1297" s="38"/>
      <c r="U1297" s="38"/>
      <c r="V1297" s="38"/>
    </row>
    <row r="1298">
      <c r="A1298" s="134"/>
      <c r="B1298" s="33"/>
      <c r="C1298" s="33"/>
      <c r="D1298" s="135"/>
      <c r="E1298" s="33"/>
      <c r="F1298" s="136"/>
      <c r="G1298" s="33"/>
      <c r="H1298" s="135"/>
      <c r="I1298" s="137"/>
      <c r="J1298" s="137"/>
      <c r="K1298" s="33"/>
      <c r="L1298" s="138"/>
      <c r="M1298" s="33"/>
      <c r="N1298" s="135"/>
      <c r="O1298" s="90"/>
      <c r="P1298" s="139"/>
      <c r="Q1298" s="38"/>
      <c r="R1298" s="38"/>
      <c r="S1298" s="38"/>
      <c r="T1298" s="38"/>
      <c r="U1298" s="38"/>
      <c r="V1298" s="38"/>
    </row>
    <row r="1299">
      <c r="A1299" s="134"/>
      <c r="B1299" s="33"/>
      <c r="C1299" s="33"/>
      <c r="D1299" s="135"/>
      <c r="E1299" s="33"/>
      <c r="F1299" s="136"/>
      <c r="G1299" s="33"/>
      <c r="H1299" s="135"/>
      <c r="I1299" s="137"/>
      <c r="J1299" s="137"/>
      <c r="K1299" s="33"/>
      <c r="L1299" s="138"/>
      <c r="M1299" s="33"/>
      <c r="N1299" s="135"/>
      <c r="O1299" s="90"/>
      <c r="P1299" s="139"/>
      <c r="Q1299" s="38"/>
      <c r="R1299" s="38"/>
      <c r="S1299" s="38"/>
      <c r="T1299" s="38"/>
      <c r="U1299" s="38"/>
      <c r="V1299" s="38"/>
    </row>
    <row r="1300">
      <c r="A1300" s="134"/>
      <c r="B1300" s="33"/>
      <c r="C1300" s="33"/>
      <c r="D1300" s="135"/>
      <c r="E1300" s="33"/>
      <c r="F1300" s="136"/>
      <c r="G1300" s="33"/>
      <c r="H1300" s="135"/>
      <c r="I1300" s="137"/>
      <c r="J1300" s="137"/>
      <c r="K1300" s="33"/>
      <c r="L1300" s="138"/>
      <c r="M1300" s="33"/>
      <c r="N1300" s="135"/>
      <c r="O1300" s="90"/>
      <c r="P1300" s="139"/>
      <c r="Q1300" s="38"/>
      <c r="R1300" s="38"/>
      <c r="S1300" s="38"/>
      <c r="T1300" s="38"/>
      <c r="U1300" s="38"/>
      <c r="V1300" s="38"/>
    </row>
    <row r="1301">
      <c r="A1301" s="134"/>
      <c r="B1301" s="33"/>
      <c r="C1301" s="33"/>
      <c r="D1301" s="135"/>
      <c r="E1301" s="33"/>
      <c r="F1301" s="136"/>
      <c r="G1301" s="33"/>
      <c r="H1301" s="135"/>
      <c r="I1301" s="137"/>
      <c r="J1301" s="137"/>
      <c r="K1301" s="33"/>
      <c r="L1301" s="138"/>
      <c r="M1301" s="33"/>
      <c r="N1301" s="135"/>
      <c r="O1301" s="90"/>
      <c r="P1301" s="139"/>
      <c r="Q1301" s="38"/>
      <c r="R1301" s="38"/>
      <c r="S1301" s="38"/>
      <c r="T1301" s="38"/>
      <c r="U1301" s="38"/>
      <c r="V1301" s="38"/>
    </row>
    <row r="1302">
      <c r="A1302" s="134"/>
      <c r="B1302" s="33"/>
      <c r="C1302" s="33"/>
      <c r="D1302" s="135"/>
      <c r="E1302" s="33"/>
      <c r="F1302" s="136"/>
      <c r="G1302" s="33"/>
      <c r="H1302" s="135"/>
      <c r="I1302" s="137"/>
      <c r="J1302" s="137"/>
      <c r="K1302" s="33"/>
      <c r="L1302" s="138"/>
      <c r="M1302" s="33"/>
      <c r="N1302" s="135"/>
      <c r="O1302" s="90"/>
      <c r="P1302" s="139"/>
      <c r="Q1302" s="38"/>
      <c r="R1302" s="38"/>
      <c r="S1302" s="38"/>
      <c r="T1302" s="38"/>
      <c r="U1302" s="38"/>
      <c r="V1302" s="38"/>
    </row>
    <row r="1303">
      <c r="A1303" s="134"/>
      <c r="B1303" s="33"/>
      <c r="C1303" s="33"/>
      <c r="D1303" s="135"/>
      <c r="E1303" s="33"/>
      <c r="F1303" s="136"/>
      <c r="G1303" s="33"/>
      <c r="H1303" s="135"/>
      <c r="I1303" s="137"/>
      <c r="J1303" s="137"/>
      <c r="K1303" s="33"/>
      <c r="L1303" s="138"/>
      <c r="M1303" s="33"/>
      <c r="N1303" s="135"/>
      <c r="O1303" s="90"/>
      <c r="P1303" s="139"/>
      <c r="Q1303" s="38"/>
      <c r="R1303" s="38"/>
      <c r="S1303" s="38"/>
      <c r="T1303" s="38"/>
      <c r="U1303" s="38"/>
      <c r="V1303" s="38"/>
    </row>
    <row r="1304">
      <c r="A1304" s="134"/>
      <c r="B1304" s="33"/>
      <c r="C1304" s="33"/>
      <c r="D1304" s="135"/>
      <c r="E1304" s="33"/>
      <c r="F1304" s="136"/>
      <c r="G1304" s="33"/>
      <c r="H1304" s="135"/>
      <c r="I1304" s="137"/>
      <c r="J1304" s="137"/>
      <c r="K1304" s="33"/>
      <c r="L1304" s="138"/>
      <c r="M1304" s="33"/>
      <c r="N1304" s="135"/>
      <c r="O1304" s="90"/>
      <c r="P1304" s="139"/>
      <c r="Q1304" s="38"/>
      <c r="R1304" s="38"/>
      <c r="S1304" s="38"/>
      <c r="T1304" s="38"/>
      <c r="U1304" s="38"/>
      <c r="V1304" s="38"/>
    </row>
    <row r="1305">
      <c r="A1305" s="134"/>
      <c r="B1305" s="33"/>
      <c r="C1305" s="33"/>
      <c r="D1305" s="135"/>
      <c r="E1305" s="33"/>
      <c r="F1305" s="136"/>
      <c r="G1305" s="33"/>
      <c r="H1305" s="135"/>
      <c r="I1305" s="137"/>
      <c r="J1305" s="137"/>
      <c r="K1305" s="33"/>
      <c r="L1305" s="138"/>
      <c r="M1305" s="33"/>
      <c r="N1305" s="135"/>
      <c r="O1305" s="90"/>
      <c r="P1305" s="139"/>
      <c r="Q1305" s="38"/>
      <c r="R1305" s="38"/>
      <c r="S1305" s="38"/>
      <c r="T1305" s="38"/>
      <c r="U1305" s="38"/>
      <c r="V1305" s="38"/>
    </row>
    <row r="1306">
      <c r="A1306" s="134"/>
      <c r="B1306" s="33"/>
      <c r="C1306" s="33"/>
      <c r="D1306" s="135"/>
      <c r="E1306" s="33"/>
      <c r="F1306" s="136"/>
      <c r="G1306" s="33"/>
      <c r="H1306" s="135"/>
      <c r="I1306" s="137"/>
      <c r="J1306" s="137"/>
      <c r="K1306" s="33"/>
      <c r="L1306" s="138"/>
      <c r="M1306" s="33"/>
      <c r="N1306" s="135"/>
      <c r="O1306" s="90"/>
      <c r="P1306" s="139"/>
      <c r="Q1306" s="38"/>
      <c r="R1306" s="38"/>
      <c r="S1306" s="38"/>
      <c r="T1306" s="38"/>
      <c r="U1306" s="38"/>
      <c r="V1306" s="38"/>
    </row>
    <row r="1307">
      <c r="A1307" s="134"/>
      <c r="B1307" s="33"/>
      <c r="C1307" s="33"/>
      <c r="D1307" s="135"/>
      <c r="E1307" s="33"/>
      <c r="F1307" s="136"/>
      <c r="G1307" s="33"/>
      <c r="H1307" s="135"/>
      <c r="I1307" s="137"/>
      <c r="J1307" s="137"/>
      <c r="K1307" s="33"/>
      <c r="L1307" s="138"/>
      <c r="M1307" s="33"/>
      <c r="N1307" s="135"/>
      <c r="O1307" s="90"/>
      <c r="P1307" s="139"/>
      <c r="Q1307" s="38"/>
      <c r="R1307" s="38"/>
      <c r="S1307" s="38"/>
      <c r="T1307" s="38"/>
      <c r="U1307" s="38"/>
      <c r="V1307" s="38"/>
    </row>
    <row r="1308">
      <c r="A1308" s="134"/>
      <c r="B1308" s="33"/>
      <c r="C1308" s="33"/>
      <c r="D1308" s="135"/>
      <c r="E1308" s="33"/>
      <c r="F1308" s="136"/>
      <c r="G1308" s="33"/>
      <c r="H1308" s="135"/>
      <c r="I1308" s="137"/>
      <c r="J1308" s="137"/>
      <c r="K1308" s="33"/>
      <c r="L1308" s="138"/>
      <c r="M1308" s="33"/>
      <c r="N1308" s="135"/>
      <c r="O1308" s="90"/>
      <c r="P1308" s="139"/>
      <c r="Q1308" s="38"/>
      <c r="R1308" s="38"/>
      <c r="S1308" s="38"/>
      <c r="T1308" s="38"/>
      <c r="U1308" s="38"/>
      <c r="V1308" s="38"/>
    </row>
    <row r="1309">
      <c r="A1309" s="134"/>
      <c r="B1309" s="33"/>
      <c r="C1309" s="33"/>
      <c r="D1309" s="135"/>
      <c r="E1309" s="33"/>
      <c r="F1309" s="136"/>
      <c r="G1309" s="33"/>
      <c r="H1309" s="135"/>
      <c r="I1309" s="137"/>
      <c r="J1309" s="137"/>
      <c r="K1309" s="33"/>
      <c r="L1309" s="138"/>
      <c r="M1309" s="33"/>
      <c r="N1309" s="135"/>
      <c r="O1309" s="90"/>
      <c r="P1309" s="139"/>
      <c r="Q1309" s="38"/>
      <c r="R1309" s="38"/>
      <c r="S1309" s="38"/>
      <c r="T1309" s="38"/>
      <c r="U1309" s="38"/>
      <c r="V1309" s="38"/>
    </row>
    <row r="1310">
      <c r="A1310" s="134"/>
      <c r="B1310" s="33"/>
      <c r="C1310" s="33"/>
      <c r="D1310" s="135"/>
      <c r="E1310" s="33"/>
      <c r="F1310" s="136"/>
      <c r="G1310" s="33"/>
      <c r="H1310" s="135"/>
      <c r="I1310" s="137"/>
      <c r="J1310" s="137"/>
      <c r="K1310" s="33"/>
      <c r="L1310" s="138"/>
      <c r="M1310" s="33"/>
      <c r="N1310" s="135"/>
      <c r="O1310" s="90"/>
      <c r="P1310" s="139"/>
      <c r="Q1310" s="38"/>
      <c r="R1310" s="38"/>
      <c r="S1310" s="38"/>
      <c r="T1310" s="38"/>
      <c r="U1310" s="38"/>
      <c r="V1310" s="38"/>
    </row>
    <row r="1311">
      <c r="A1311" s="134"/>
      <c r="B1311" s="33"/>
      <c r="C1311" s="33"/>
      <c r="D1311" s="135"/>
      <c r="E1311" s="33"/>
      <c r="F1311" s="136"/>
      <c r="G1311" s="33"/>
      <c r="H1311" s="135"/>
      <c r="I1311" s="137"/>
      <c r="J1311" s="137"/>
      <c r="K1311" s="33"/>
      <c r="L1311" s="138"/>
      <c r="M1311" s="33"/>
      <c r="N1311" s="135"/>
      <c r="O1311" s="90"/>
      <c r="P1311" s="139"/>
      <c r="Q1311" s="38"/>
      <c r="R1311" s="38"/>
      <c r="S1311" s="38"/>
      <c r="T1311" s="38"/>
      <c r="U1311" s="38"/>
      <c r="V1311" s="38"/>
    </row>
    <row r="1312">
      <c r="A1312" s="134"/>
      <c r="B1312" s="33"/>
      <c r="C1312" s="33"/>
      <c r="D1312" s="135"/>
      <c r="E1312" s="33"/>
      <c r="F1312" s="136"/>
      <c r="G1312" s="33"/>
      <c r="H1312" s="135"/>
      <c r="I1312" s="137"/>
      <c r="J1312" s="137"/>
      <c r="K1312" s="33"/>
      <c r="L1312" s="138"/>
      <c r="M1312" s="33"/>
      <c r="N1312" s="135"/>
      <c r="O1312" s="90"/>
      <c r="P1312" s="139"/>
      <c r="Q1312" s="38"/>
      <c r="R1312" s="38"/>
      <c r="S1312" s="38"/>
      <c r="T1312" s="38"/>
      <c r="U1312" s="38"/>
      <c r="V1312" s="38"/>
    </row>
    <row r="1313">
      <c r="A1313" s="134"/>
      <c r="B1313" s="33"/>
      <c r="C1313" s="33"/>
      <c r="D1313" s="135"/>
      <c r="E1313" s="33"/>
      <c r="F1313" s="136"/>
      <c r="G1313" s="33"/>
      <c r="H1313" s="135"/>
      <c r="I1313" s="137"/>
      <c r="J1313" s="137"/>
      <c r="K1313" s="33"/>
      <c r="L1313" s="138"/>
      <c r="M1313" s="33"/>
      <c r="N1313" s="135"/>
      <c r="O1313" s="90"/>
      <c r="P1313" s="139"/>
      <c r="Q1313" s="38"/>
      <c r="R1313" s="38"/>
      <c r="S1313" s="38"/>
      <c r="T1313" s="38"/>
      <c r="U1313" s="38"/>
      <c r="V1313" s="38"/>
    </row>
    <row r="1314">
      <c r="A1314" s="134"/>
      <c r="B1314" s="33"/>
      <c r="C1314" s="33"/>
      <c r="D1314" s="135"/>
      <c r="E1314" s="33"/>
      <c r="F1314" s="136"/>
      <c r="G1314" s="33"/>
      <c r="H1314" s="135"/>
      <c r="I1314" s="137"/>
      <c r="J1314" s="137"/>
      <c r="K1314" s="33"/>
      <c r="L1314" s="138"/>
      <c r="M1314" s="33"/>
      <c r="N1314" s="135"/>
      <c r="O1314" s="90"/>
      <c r="P1314" s="139"/>
      <c r="Q1314" s="38"/>
      <c r="R1314" s="38"/>
      <c r="S1314" s="38"/>
      <c r="T1314" s="38"/>
      <c r="U1314" s="38"/>
      <c r="V1314" s="38"/>
    </row>
    <row r="1315">
      <c r="A1315" s="134"/>
      <c r="B1315" s="33"/>
      <c r="C1315" s="33"/>
      <c r="D1315" s="135"/>
      <c r="E1315" s="33"/>
      <c r="F1315" s="136"/>
      <c r="G1315" s="33"/>
      <c r="H1315" s="135"/>
      <c r="I1315" s="137"/>
      <c r="J1315" s="137"/>
      <c r="K1315" s="33"/>
      <c r="L1315" s="138"/>
      <c r="M1315" s="33"/>
      <c r="N1315" s="135"/>
      <c r="O1315" s="90"/>
      <c r="P1315" s="139"/>
      <c r="Q1315" s="38"/>
      <c r="R1315" s="38"/>
      <c r="S1315" s="38"/>
      <c r="T1315" s="38"/>
      <c r="U1315" s="38"/>
      <c r="V1315" s="38"/>
    </row>
    <row r="1316">
      <c r="A1316" s="134"/>
      <c r="B1316" s="33"/>
      <c r="C1316" s="33"/>
      <c r="D1316" s="135"/>
      <c r="E1316" s="33"/>
      <c r="F1316" s="136"/>
      <c r="G1316" s="33"/>
      <c r="H1316" s="135"/>
      <c r="I1316" s="137"/>
      <c r="J1316" s="137"/>
      <c r="K1316" s="33"/>
      <c r="L1316" s="138"/>
      <c r="M1316" s="33"/>
      <c r="N1316" s="135"/>
      <c r="O1316" s="90"/>
      <c r="P1316" s="139"/>
      <c r="Q1316" s="38"/>
      <c r="R1316" s="38"/>
      <c r="S1316" s="38"/>
      <c r="T1316" s="38"/>
      <c r="U1316" s="38"/>
      <c r="V1316" s="38"/>
    </row>
    <row r="1317">
      <c r="A1317" s="134"/>
      <c r="B1317" s="33"/>
      <c r="C1317" s="33"/>
      <c r="D1317" s="135"/>
      <c r="E1317" s="33"/>
      <c r="F1317" s="136"/>
      <c r="G1317" s="33"/>
      <c r="H1317" s="135"/>
      <c r="I1317" s="137"/>
      <c r="J1317" s="137"/>
      <c r="K1317" s="33"/>
      <c r="L1317" s="138"/>
      <c r="M1317" s="33"/>
      <c r="N1317" s="135"/>
      <c r="O1317" s="90"/>
      <c r="P1317" s="139"/>
      <c r="Q1317" s="38"/>
      <c r="R1317" s="38"/>
      <c r="S1317" s="38"/>
      <c r="T1317" s="38"/>
      <c r="U1317" s="38"/>
      <c r="V1317" s="38"/>
    </row>
    <row r="1318">
      <c r="A1318" s="134"/>
      <c r="B1318" s="33"/>
      <c r="C1318" s="33"/>
      <c r="D1318" s="135"/>
      <c r="E1318" s="33"/>
      <c r="F1318" s="136"/>
      <c r="G1318" s="33"/>
      <c r="H1318" s="135"/>
      <c r="I1318" s="137"/>
      <c r="J1318" s="137"/>
      <c r="K1318" s="33"/>
      <c r="L1318" s="138"/>
      <c r="M1318" s="33"/>
      <c r="N1318" s="135"/>
      <c r="O1318" s="90"/>
      <c r="P1318" s="139"/>
      <c r="Q1318" s="38"/>
      <c r="R1318" s="38"/>
      <c r="S1318" s="38"/>
      <c r="T1318" s="38"/>
      <c r="U1318" s="38"/>
      <c r="V1318" s="38"/>
    </row>
    <row r="1319">
      <c r="A1319" s="134"/>
      <c r="B1319" s="33"/>
      <c r="C1319" s="33"/>
      <c r="D1319" s="135"/>
      <c r="E1319" s="33"/>
      <c r="F1319" s="136"/>
      <c r="G1319" s="33"/>
      <c r="H1319" s="135"/>
      <c r="I1319" s="137"/>
      <c r="J1319" s="137"/>
      <c r="K1319" s="33"/>
      <c r="L1319" s="138"/>
      <c r="M1319" s="33"/>
      <c r="N1319" s="135"/>
      <c r="O1319" s="90"/>
      <c r="P1319" s="139"/>
      <c r="Q1319" s="38"/>
      <c r="R1319" s="38"/>
      <c r="S1319" s="38"/>
      <c r="T1319" s="38"/>
      <c r="U1319" s="38"/>
      <c r="V1319" s="38"/>
    </row>
    <row r="1320">
      <c r="A1320" s="134"/>
      <c r="B1320" s="33"/>
      <c r="C1320" s="33"/>
      <c r="D1320" s="135"/>
      <c r="E1320" s="33"/>
      <c r="F1320" s="136"/>
      <c r="G1320" s="33"/>
      <c r="H1320" s="135"/>
      <c r="I1320" s="137"/>
      <c r="J1320" s="137"/>
      <c r="K1320" s="33"/>
      <c r="L1320" s="138"/>
      <c r="M1320" s="33"/>
      <c r="N1320" s="135"/>
      <c r="O1320" s="90"/>
      <c r="P1320" s="139"/>
      <c r="Q1320" s="38"/>
      <c r="R1320" s="38"/>
      <c r="S1320" s="38"/>
      <c r="T1320" s="38"/>
      <c r="U1320" s="38"/>
      <c r="V1320" s="38"/>
    </row>
    <row r="1321">
      <c r="A1321" s="134"/>
      <c r="B1321" s="33"/>
      <c r="C1321" s="33"/>
      <c r="D1321" s="135"/>
      <c r="E1321" s="33"/>
      <c r="F1321" s="136"/>
      <c r="G1321" s="33"/>
      <c r="H1321" s="135"/>
      <c r="I1321" s="137"/>
      <c r="J1321" s="137"/>
      <c r="K1321" s="33"/>
      <c r="L1321" s="138"/>
      <c r="M1321" s="33"/>
      <c r="N1321" s="135"/>
      <c r="O1321" s="90"/>
      <c r="P1321" s="139"/>
      <c r="Q1321" s="38"/>
      <c r="R1321" s="38"/>
      <c r="S1321" s="38"/>
      <c r="T1321" s="38"/>
      <c r="U1321" s="38"/>
      <c r="V1321" s="38"/>
    </row>
    <row r="1322">
      <c r="A1322" s="134"/>
      <c r="B1322" s="33"/>
      <c r="C1322" s="33"/>
      <c r="D1322" s="135"/>
      <c r="E1322" s="33"/>
      <c r="F1322" s="136"/>
      <c r="G1322" s="33"/>
      <c r="H1322" s="135"/>
      <c r="I1322" s="137"/>
      <c r="J1322" s="137"/>
      <c r="K1322" s="33"/>
      <c r="L1322" s="138"/>
      <c r="M1322" s="33"/>
      <c r="N1322" s="135"/>
      <c r="O1322" s="90"/>
      <c r="P1322" s="139"/>
      <c r="Q1322" s="38"/>
      <c r="R1322" s="38"/>
      <c r="S1322" s="38"/>
      <c r="T1322" s="38"/>
      <c r="U1322" s="38"/>
      <c r="V1322" s="38"/>
    </row>
    <row r="1323">
      <c r="A1323" s="134"/>
      <c r="B1323" s="33"/>
      <c r="C1323" s="33"/>
      <c r="D1323" s="135"/>
      <c r="E1323" s="33"/>
      <c r="F1323" s="136"/>
      <c r="G1323" s="33"/>
      <c r="H1323" s="135"/>
      <c r="I1323" s="137"/>
      <c r="J1323" s="137"/>
      <c r="K1323" s="33"/>
      <c r="L1323" s="138"/>
      <c r="M1323" s="33"/>
      <c r="N1323" s="135"/>
      <c r="O1323" s="90"/>
      <c r="P1323" s="139"/>
      <c r="Q1323" s="38"/>
      <c r="R1323" s="38"/>
      <c r="S1323" s="38"/>
      <c r="T1323" s="38"/>
      <c r="U1323" s="38"/>
      <c r="V1323" s="38"/>
    </row>
    <row r="1324">
      <c r="A1324" s="134"/>
      <c r="B1324" s="33"/>
      <c r="C1324" s="33"/>
      <c r="D1324" s="135"/>
      <c r="E1324" s="33"/>
      <c r="F1324" s="136"/>
      <c r="G1324" s="33"/>
      <c r="H1324" s="135"/>
      <c r="I1324" s="137"/>
      <c r="J1324" s="137"/>
      <c r="K1324" s="33"/>
      <c r="L1324" s="138"/>
      <c r="M1324" s="33"/>
      <c r="N1324" s="135"/>
      <c r="O1324" s="90"/>
      <c r="P1324" s="139"/>
      <c r="Q1324" s="38"/>
      <c r="R1324" s="38"/>
      <c r="S1324" s="38"/>
      <c r="T1324" s="38"/>
      <c r="U1324" s="38"/>
      <c r="V1324" s="38"/>
    </row>
    <row r="1325">
      <c r="A1325" s="134"/>
      <c r="B1325" s="33"/>
      <c r="C1325" s="33"/>
      <c r="D1325" s="135"/>
      <c r="E1325" s="33"/>
      <c r="F1325" s="136"/>
      <c r="G1325" s="33"/>
      <c r="H1325" s="135"/>
      <c r="I1325" s="137"/>
      <c r="J1325" s="137"/>
      <c r="K1325" s="33"/>
      <c r="L1325" s="138"/>
      <c r="M1325" s="33"/>
      <c r="N1325" s="135"/>
      <c r="O1325" s="90"/>
      <c r="P1325" s="139"/>
      <c r="Q1325" s="38"/>
      <c r="R1325" s="38"/>
      <c r="S1325" s="38"/>
      <c r="T1325" s="38"/>
      <c r="U1325" s="38"/>
      <c r="V1325" s="38"/>
    </row>
    <row r="1326">
      <c r="A1326" s="134"/>
      <c r="B1326" s="33"/>
      <c r="C1326" s="33"/>
      <c r="D1326" s="135"/>
      <c r="E1326" s="33"/>
      <c r="F1326" s="136"/>
      <c r="G1326" s="33"/>
      <c r="H1326" s="135"/>
      <c r="I1326" s="137"/>
      <c r="J1326" s="137"/>
      <c r="K1326" s="33"/>
      <c r="L1326" s="138"/>
      <c r="M1326" s="33"/>
      <c r="N1326" s="135"/>
      <c r="O1326" s="90"/>
      <c r="P1326" s="139"/>
      <c r="Q1326" s="38"/>
      <c r="R1326" s="38"/>
      <c r="S1326" s="38"/>
      <c r="T1326" s="38"/>
      <c r="U1326" s="38"/>
      <c r="V1326" s="38"/>
    </row>
    <row r="1327">
      <c r="A1327" s="134"/>
      <c r="B1327" s="33"/>
      <c r="C1327" s="33"/>
      <c r="D1327" s="135"/>
      <c r="E1327" s="33"/>
      <c r="F1327" s="136"/>
      <c r="G1327" s="33"/>
      <c r="H1327" s="135"/>
      <c r="I1327" s="137"/>
      <c r="J1327" s="137"/>
      <c r="K1327" s="33"/>
      <c r="L1327" s="138"/>
      <c r="M1327" s="33"/>
      <c r="N1327" s="135"/>
      <c r="O1327" s="90"/>
      <c r="P1327" s="139"/>
      <c r="Q1327" s="38"/>
      <c r="R1327" s="38"/>
      <c r="S1327" s="38"/>
      <c r="T1327" s="38"/>
      <c r="U1327" s="38"/>
      <c r="V1327" s="38"/>
    </row>
    <row r="1328">
      <c r="A1328" s="134"/>
      <c r="B1328" s="33"/>
      <c r="C1328" s="33"/>
      <c r="D1328" s="135"/>
      <c r="E1328" s="33"/>
      <c r="F1328" s="136"/>
      <c r="G1328" s="33"/>
      <c r="H1328" s="135"/>
      <c r="I1328" s="137"/>
      <c r="J1328" s="137"/>
      <c r="K1328" s="33"/>
      <c r="L1328" s="138"/>
      <c r="M1328" s="33"/>
      <c r="N1328" s="135"/>
      <c r="O1328" s="90"/>
      <c r="P1328" s="139"/>
      <c r="Q1328" s="38"/>
      <c r="R1328" s="38"/>
      <c r="S1328" s="38"/>
      <c r="T1328" s="38"/>
      <c r="U1328" s="38"/>
      <c r="V1328" s="38"/>
    </row>
    <row r="1329">
      <c r="A1329" s="134"/>
      <c r="B1329" s="33"/>
      <c r="C1329" s="33"/>
      <c r="D1329" s="135"/>
      <c r="E1329" s="33"/>
      <c r="F1329" s="136"/>
      <c r="G1329" s="33"/>
      <c r="H1329" s="135"/>
      <c r="I1329" s="137"/>
      <c r="J1329" s="137"/>
      <c r="K1329" s="33"/>
      <c r="L1329" s="138"/>
      <c r="M1329" s="33"/>
      <c r="N1329" s="135"/>
      <c r="O1329" s="90"/>
      <c r="P1329" s="139"/>
      <c r="Q1329" s="38"/>
      <c r="R1329" s="38"/>
      <c r="S1329" s="38"/>
      <c r="T1329" s="38"/>
      <c r="U1329" s="38"/>
      <c r="V1329" s="38"/>
    </row>
    <row r="1330">
      <c r="A1330" s="134"/>
      <c r="B1330" s="33"/>
      <c r="C1330" s="33"/>
      <c r="D1330" s="135"/>
      <c r="E1330" s="33"/>
      <c r="F1330" s="136"/>
      <c r="G1330" s="33"/>
      <c r="H1330" s="135"/>
      <c r="I1330" s="137"/>
      <c r="J1330" s="137"/>
      <c r="K1330" s="33"/>
      <c r="L1330" s="138"/>
      <c r="M1330" s="33"/>
      <c r="N1330" s="135"/>
      <c r="O1330" s="90"/>
      <c r="P1330" s="139"/>
      <c r="Q1330" s="38"/>
      <c r="R1330" s="38"/>
      <c r="S1330" s="38"/>
      <c r="T1330" s="38"/>
      <c r="U1330" s="38"/>
      <c r="V1330" s="38"/>
    </row>
    <row r="1331">
      <c r="A1331" s="134"/>
      <c r="B1331" s="33"/>
      <c r="C1331" s="33"/>
      <c r="D1331" s="135"/>
      <c r="E1331" s="33"/>
      <c r="F1331" s="136"/>
      <c r="G1331" s="33"/>
      <c r="H1331" s="135"/>
      <c r="I1331" s="137"/>
      <c r="J1331" s="137"/>
      <c r="K1331" s="33"/>
      <c r="L1331" s="138"/>
      <c r="M1331" s="33"/>
      <c r="N1331" s="135"/>
      <c r="O1331" s="90"/>
      <c r="P1331" s="139"/>
      <c r="Q1331" s="38"/>
      <c r="R1331" s="38"/>
      <c r="S1331" s="38"/>
      <c r="T1331" s="38"/>
      <c r="U1331" s="38"/>
      <c r="V1331" s="38"/>
    </row>
    <row r="1332">
      <c r="A1332" s="134"/>
      <c r="B1332" s="33"/>
      <c r="C1332" s="33"/>
      <c r="D1332" s="135"/>
      <c r="E1332" s="33"/>
      <c r="F1332" s="136"/>
      <c r="G1332" s="33"/>
      <c r="H1332" s="135"/>
      <c r="I1332" s="137"/>
      <c r="J1332" s="137"/>
      <c r="K1332" s="33"/>
      <c r="L1332" s="138"/>
      <c r="M1332" s="33"/>
      <c r="N1332" s="135"/>
      <c r="O1332" s="90"/>
      <c r="P1332" s="139"/>
      <c r="Q1332" s="38"/>
      <c r="R1332" s="38"/>
      <c r="S1332" s="38"/>
      <c r="T1332" s="38"/>
      <c r="U1332" s="38"/>
      <c r="V1332" s="38"/>
    </row>
    <row r="1333">
      <c r="A1333" s="134"/>
      <c r="B1333" s="33"/>
      <c r="C1333" s="33"/>
      <c r="D1333" s="135"/>
      <c r="E1333" s="33"/>
      <c r="F1333" s="136"/>
      <c r="G1333" s="33"/>
      <c r="H1333" s="135"/>
      <c r="I1333" s="137"/>
      <c r="J1333" s="137"/>
      <c r="K1333" s="33"/>
      <c r="L1333" s="138"/>
      <c r="M1333" s="33"/>
      <c r="N1333" s="135"/>
      <c r="O1333" s="90"/>
      <c r="P1333" s="139"/>
      <c r="Q1333" s="38"/>
      <c r="R1333" s="38"/>
      <c r="S1333" s="38"/>
      <c r="T1333" s="38"/>
      <c r="U1333" s="38"/>
      <c r="V1333" s="38"/>
    </row>
    <row r="1334">
      <c r="A1334" s="134"/>
      <c r="B1334" s="33"/>
      <c r="C1334" s="33"/>
      <c r="D1334" s="135"/>
      <c r="E1334" s="33"/>
      <c r="F1334" s="136"/>
      <c r="G1334" s="33"/>
      <c r="H1334" s="135"/>
      <c r="I1334" s="137"/>
      <c r="J1334" s="137"/>
      <c r="K1334" s="33"/>
      <c r="L1334" s="138"/>
      <c r="M1334" s="33"/>
      <c r="N1334" s="135"/>
      <c r="O1334" s="90"/>
      <c r="P1334" s="139"/>
      <c r="Q1334" s="38"/>
      <c r="R1334" s="38"/>
      <c r="S1334" s="38"/>
      <c r="T1334" s="38"/>
      <c r="U1334" s="38"/>
      <c r="V1334" s="38"/>
    </row>
    <row r="1335">
      <c r="A1335" s="134"/>
      <c r="B1335" s="33"/>
      <c r="C1335" s="33"/>
      <c r="D1335" s="135"/>
      <c r="E1335" s="33"/>
      <c r="F1335" s="136"/>
      <c r="G1335" s="33"/>
      <c r="H1335" s="135"/>
      <c r="I1335" s="137"/>
      <c r="J1335" s="137"/>
      <c r="K1335" s="33"/>
      <c r="L1335" s="138"/>
      <c r="M1335" s="33"/>
      <c r="N1335" s="135"/>
      <c r="O1335" s="90"/>
      <c r="P1335" s="139"/>
      <c r="Q1335" s="38"/>
      <c r="R1335" s="38"/>
      <c r="S1335" s="38"/>
      <c r="T1335" s="38"/>
      <c r="U1335" s="38"/>
      <c r="V1335" s="38"/>
    </row>
    <row r="1336">
      <c r="A1336" s="134"/>
      <c r="B1336" s="33"/>
      <c r="C1336" s="33"/>
      <c r="D1336" s="135"/>
      <c r="E1336" s="33"/>
      <c r="F1336" s="136"/>
      <c r="G1336" s="33"/>
      <c r="H1336" s="135"/>
      <c r="I1336" s="137"/>
      <c r="J1336" s="137"/>
      <c r="K1336" s="33"/>
      <c r="L1336" s="138"/>
      <c r="M1336" s="33"/>
      <c r="N1336" s="135"/>
      <c r="O1336" s="90"/>
      <c r="P1336" s="139"/>
      <c r="Q1336" s="38"/>
      <c r="R1336" s="38"/>
      <c r="S1336" s="38"/>
      <c r="T1336" s="38"/>
      <c r="U1336" s="38"/>
      <c r="V1336" s="38"/>
    </row>
    <row r="1337">
      <c r="A1337" s="134"/>
      <c r="B1337" s="33"/>
      <c r="C1337" s="33"/>
      <c r="D1337" s="135"/>
      <c r="E1337" s="33"/>
      <c r="F1337" s="136"/>
      <c r="G1337" s="33"/>
      <c r="H1337" s="135"/>
      <c r="I1337" s="137"/>
      <c r="J1337" s="137"/>
      <c r="K1337" s="33"/>
      <c r="L1337" s="138"/>
      <c r="M1337" s="33"/>
      <c r="N1337" s="135"/>
      <c r="O1337" s="90"/>
      <c r="P1337" s="139"/>
      <c r="Q1337" s="38"/>
      <c r="R1337" s="38"/>
      <c r="S1337" s="38"/>
      <c r="T1337" s="38"/>
      <c r="U1337" s="38"/>
      <c r="V1337" s="38"/>
    </row>
    <row r="1338">
      <c r="A1338" s="134"/>
      <c r="B1338" s="33"/>
      <c r="C1338" s="33"/>
      <c r="D1338" s="135"/>
      <c r="E1338" s="33"/>
      <c r="F1338" s="136"/>
      <c r="G1338" s="33"/>
      <c r="H1338" s="135"/>
      <c r="I1338" s="137"/>
      <c r="J1338" s="137"/>
      <c r="K1338" s="33"/>
      <c r="L1338" s="138"/>
      <c r="M1338" s="33"/>
      <c r="N1338" s="135"/>
      <c r="O1338" s="90"/>
      <c r="P1338" s="139"/>
      <c r="Q1338" s="38"/>
      <c r="R1338" s="38"/>
      <c r="S1338" s="38"/>
      <c r="T1338" s="38"/>
      <c r="U1338" s="38"/>
      <c r="V1338" s="38"/>
    </row>
    <row r="1339">
      <c r="A1339" s="134"/>
      <c r="B1339" s="33"/>
      <c r="C1339" s="33"/>
      <c r="D1339" s="135"/>
      <c r="E1339" s="33"/>
      <c r="F1339" s="136"/>
      <c r="G1339" s="33"/>
      <c r="H1339" s="135"/>
      <c r="I1339" s="137"/>
      <c r="J1339" s="137"/>
      <c r="K1339" s="33"/>
      <c r="L1339" s="138"/>
      <c r="M1339" s="33"/>
      <c r="N1339" s="135"/>
      <c r="O1339" s="90"/>
      <c r="P1339" s="139"/>
      <c r="Q1339" s="38"/>
      <c r="R1339" s="38"/>
      <c r="S1339" s="38"/>
      <c r="T1339" s="38"/>
      <c r="U1339" s="38"/>
      <c r="V1339" s="38"/>
    </row>
    <row r="1340">
      <c r="A1340" s="134"/>
      <c r="B1340" s="33"/>
      <c r="C1340" s="33"/>
      <c r="D1340" s="135"/>
      <c r="E1340" s="33"/>
      <c r="F1340" s="136"/>
      <c r="G1340" s="33"/>
      <c r="H1340" s="135"/>
      <c r="I1340" s="137"/>
      <c r="J1340" s="137"/>
      <c r="K1340" s="33"/>
      <c r="L1340" s="138"/>
      <c r="M1340" s="33"/>
      <c r="N1340" s="135"/>
      <c r="O1340" s="90"/>
      <c r="P1340" s="139"/>
      <c r="Q1340" s="38"/>
      <c r="R1340" s="38"/>
      <c r="S1340" s="38"/>
      <c r="T1340" s="38"/>
      <c r="U1340" s="38"/>
      <c r="V1340" s="38"/>
    </row>
    <row r="1341">
      <c r="A1341" s="134"/>
      <c r="B1341" s="33"/>
      <c r="C1341" s="33"/>
      <c r="D1341" s="135"/>
      <c r="E1341" s="33"/>
      <c r="F1341" s="136"/>
      <c r="G1341" s="33"/>
      <c r="H1341" s="135"/>
      <c r="I1341" s="137"/>
      <c r="J1341" s="137"/>
      <c r="K1341" s="33"/>
      <c r="L1341" s="138"/>
      <c r="M1341" s="33"/>
      <c r="N1341" s="135"/>
      <c r="O1341" s="90"/>
      <c r="P1341" s="139"/>
      <c r="Q1341" s="38"/>
      <c r="R1341" s="38"/>
      <c r="S1341" s="38"/>
      <c r="T1341" s="38"/>
      <c r="U1341" s="38"/>
      <c r="V1341" s="38"/>
    </row>
    <row r="1342">
      <c r="A1342" s="134"/>
      <c r="B1342" s="33"/>
      <c r="C1342" s="33"/>
      <c r="D1342" s="135"/>
      <c r="E1342" s="33"/>
      <c r="F1342" s="136"/>
      <c r="G1342" s="33"/>
      <c r="H1342" s="135"/>
      <c r="I1342" s="137"/>
      <c r="J1342" s="137"/>
      <c r="K1342" s="33"/>
      <c r="L1342" s="138"/>
      <c r="M1342" s="33"/>
      <c r="N1342" s="135"/>
      <c r="O1342" s="90"/>
      <c r="P1342" s="139"/>
      <c r="Q1342" s="38"/>
      <c r="R1342" s="38"/>
      <c r="S1342" s="38"/>
      <c r="T1342" s="38"/>
      <c r="U1342" s="38"/>
      <c r="V1342" s="38"/>
    </row>
    <row r="1343">
      <c r="A1343" s="134"/>
      <c r="B1343" s="33"/>
      <c r="C1343" s="33"/>
      <c r="D1343" s="135"/>
      <c r="E1343" s="33"/>
      <c r="F1343" s="136"/>
      <c r="G1343" s="33"/>
      <c r="H1343" s="135"/>
      <c r="I1343" s="137"/>
      <c r="J1343" s="137"/>
      <c r="K1343" s="33"/>
      <c r="L1343" s="138"/>
      <c r="M1343" s="33"/>
      <c r="N1343" s="135"/>
      <c r="O1343" s="90"/>
      <c r="P1343" s="139"/>
      <c r="Q1343" s="38"/>
      <c r="R1343" s="38"/>
      <c r="S1343" s="38"/>
      <c r="T1343" s="38"/>
      <c r="U1343" s="38"/>
      <c r="V1343" s="38"/>
    </row>
    <row r="1344">
      <c r="A1344" s="134"/>
      <c r="B1344" s="33"/>
      <c r="C1344" s="33"/>
      <c r="D1344" s="135"/>
      <c r="E1344" s="33"/>
      <c r="F1344" s="136"/>
      <c r="G1344" s="33"/>
      <c r="H1344" s="135"/>
      <c r="I1344" s="137"/>
      <c r="J1344" s="137"/>
      <c r="K1344" s="33"/>
      <c r="L1344" s="138"/>
      <c r="M1344" s="33"/>
      <c r="N1344" s="135"/>
      <c r="O1344" s="90"/>
      <c r="P1344" s="139"/>
      <c r="Q1344" s="38"/>
      <c r="R1344" s="38"/>
      <c r="S1344" s="38"/>
      <c r="T1344" s="38"/>
      <c r="U1344" s="38"/>
      <c r="V1344" s="38"/>
    </row>
    <row r="1345">
      <c r="A1345" s="134"/>
      <c r="B1345" s="33"/>
      <c r="C1345" s="33"/>
      <c r="D1345" s="135"/>
      <c r="E1345" s="33"/>
      <c r="F1345" s="136"/>
      <c r="G1345" s="33"/>
      <c r="H1345" s="135"/>
      <c r="I1345" s="137"/>
      <c r="J1345" s="137"/>
      <c r="K1345" s="33"/>
      <c r="L1345" s="138"/>
      <c r="M1345" s="33"/>
      <c r="N1345" s="135"/>
      <c r="O1345" s="90"/>
      <c r="P1345" s="139"/>
      <c r="Q1345" s="38"/>
      <c r="R1345" s="38"/>
      <c r="S1345" s="38"/>
      <c r="T1345" s="38"/>
      <c r="U1345" s="38"/>
      <c r="V1345" s="38"/>
    </row>
    <row r="1346">
      <c r="A1346" s="134"/>
      <c r="B1346" s="33"/>
      <c r="C1346" s="33"/>
      <c r="D1346" s="135"/>
      <c r="E1346" s="33"/>
      <c r="F1346" s="136"/>
      <c r="G1346" s="33"/>
      <c r="H1346" s="135"/>
      <c r="I1346" s="137"/>
      <c r="J1346" s="137"/>
      <c r="K1346" s="33"/>
      <c r="L1346" s="138"/>
      <c r="M1346" s="33"/>
      <c r="N1346" s="135"/>
      <c r="O1346" s="90"/>
      <c r="P1346" s="139"/>
      <c r="Q1346" s="38"/>
      <c r="R1346" s="38"/>
      <c r="S1346" s="38"/>
      <c r="T1346" s="38"/>
      <c r="U1346" s="38"/>
      <c r="V1346" s="38"/>
    </row>
    <row r="1347">
      <c r="A1347" s="134"/>
      <c r="B1347" s="33"/>
      <c r="C1347" s="33"/>
      <c r="D1347" s="135"/>
      <c r="E1347" s="33"/>
      <c r="F1347" s="136"/>
      <c r="G1347" s="33"/>
      <c r="H1347" s="135"/>
      <c r="I1347" s="137"/>
      <c r="J1347" s="137"/>
      <c r="K1347" s="33"/>
      <c r="L1347" s="138"/>
      <c r="M1347" s="33"/>
      <c r="N1347" s="135"/>
      <c r="O1347" s="90"/>
      <c r="P1347" s="139"/>
      <c r="Q1347" s="38"/>
      <c r="R1347" s="38"/>
      <c r="S1347" s="38"/>
      <c r="T1347" s="38"/>
      <c r="U1347" s="38"/>
      <c r="V1347" s="38"/>
    </row>
    <row r="1348">
      <c r="A1348" s="134"/>
      <c r="B1348" s="33"/>
      <c r="C1348" s="33"/>
      <c r="D1348" s="135"/>
      <c r="E1348" s="33"/>
      <c r="F1348" s="136"/>
      <c r="G1348" s="33"/>
      <c r="H1348" s="135"/>
      <c r="I1348" s="137"/>
      <c r="J1348" s="137"/>
      <c r="K1348" s="33"/>
      <c r="L1348" s="138"/>
      <c r="M1348" s="33"/>
      <c r="N1348" s="135"/>
      <c r="O1348" s="90"/>
      <c r="P1348" s="139"/>
      <c r="Q1348" s="38"/>
      <c r="R1348" s="38"/>
      <c r="S1348" s="38"/>
      <c r="T1348" s="38"/>
      <c r="U1348" s="38"/>
      <c r="V1348" s="38"/>
    </row>
    <row r="1349">
      <c r="A1349" s="134"/>
      <c r="B1349" s="33"/>
      <c r="C1349" s="33"/>
      <c r="D1349" s="135"/>
      <c r="E1349" s="33"/>
      <c r="F1349" s="136"/>
      <c r="G1349" s="33"/>
      <c r="H1349" s="135"/>
      <c r="I1349" s="137"/>
      <c r="J1349" s="137"/>
      <c r="K1349" s="33"/>
      <c r="L1349" s="138"/>
      <c r="M1349" s="33"/>
      <c r="N1349" s="135"/>
      <c r="O1349" s="90"/>
      <c r="P1349" s="139"/>
      <c r="Q1349" s="38"/>
      <c r="R1349" s="38"/>
      <c r="S1349" s="38"/>
      <c r="T1349" s="38"/>
      <c r="U1349" s="38"/>
      <c r="V1349" s="38"/>
    </row>
    <row r="1350">
      <c r="A1350" s="134"/>
      <c r="B1350" s="33"/>
      <c r="C1350" s="33"/>
      <c r="D1350" s="135"/>
      <c r="E1350" s="33"/>
      <c r="F1350" s="136"/>
      <c r="G1350" s="33"/>
      <c r="H1350" s="135"/>
      <c r="I1350" s="137"/>
      <c r="J1350" s="137"/>
      <c r="K1350" s="33"/>
      <c r="L1350" s="138"/>
      <c r="M1350" s="33"/>
      <c r="N1350" s="135"/>
      <c r="O1350" s="90"/>
      <c r="P1350" s="139"/>
      <c r="Q1350" s="38"/>
      <c r="R1350" s="38"/>
      <c r="S1350" s="38"/>
      <c r="T1350" s="38"/>
      <c r="U1350" s="38"/>
      <c r="V1350" s="38"/>
    </row>
    <row r="1351">
      <c r="A1351" s="134"/>
      <c r="B1351" s="33"/>
      <c r="C1351" s="33"/>
      <c r="D1351" s="135"/>
      <c r="E1351" s="33"/>
      <c r="F1351" s="136"/>
      <c r="G1351" s="33"/>
      <c r="H1351" s="135"/>
      <c r="I1351" s="137"/>
      <c r="J1351" s="137"/>
      <c r="K1351" s="33"/>
      <c r="L1351" s="138"/>
      <c r="M1351" s="33"/>
      <c r="N1351" s="135"/>
      <c r="O1351" s="90"/>
      <c r="P1351" s="139"/>
      <c r="Q1351" s="38"/>
      <c r="R1351" s="38"/>
      <c r="S1351" s="38"/>
      <c r="T1351" s="38"/>
      <c r="U1351" s="38"/>
      <c r="V1351" s="38"/>
    </row>
    <row r="1352">
      <c r="A1352" s="134"/>
      <c r="B1352" s="33"/>
      <c r="C1352" s="33"/>
      <c r="D1352" s="135"/>
      <c r="E1352" s="33"/>
      <c r="F1352" s="136"/>
      <c r="G1352" s="33"/>
      <c r="H1352" s="135"/>
      <c r="I1352" s="137"/>
      <c r="J1352" s="137"/>
      <c r="K1352" s="33"/>
      <c r="L1352" s="138"/>
      <c r="M1352" s="33"/>
      <c r="N1352" s="135"/>
      <c r="O1352" s="90"/>
      <c r="P1352" s="139"/>
      <c r="Q1352" s="38"/>
      <c r="R1352" s="38"/>
      <c r="S1352" s="38"/>
      <c r="T1352" s="38"/>
      <c r="U1352" s="38"/>
      <c r="V1352" s="38"/>
    </row>
    <row r="1353">
      <c r="A1353" s="134"/>
      <c r="B1353" s="33"/>
      <c r="C1353" s="33"/>
      <c r="D1353" s="135"/>
      <c r="E1353" s="33"/>
      <c r="F1353" s="136"/>
      <c r="G1353" s="33"/>
      <c r="H1353" s="135"/>
      <c r="I1353" s="137"/>
      <c r="J1353" s="137"/>
      <c r="K1353" s="33"/>
      <c r="L1353" s="138"/>
      <c r="M1353" s="33"/>
      <c r="N1353" s="135"/>
      <c r="O1353" s="90"/>
      <c r="P1353" s="139"/>
      <c r="Q1353" s="38"/>
      <c r="R1353" s="38"/>
      <c r="S1353" s="38"/>
      <c r="T1353" s="38"/>
      <c r="U1353" s="38"/>
      <c r="V1353" s="38"/>
    </row>
    <row r="1354">
      <c r="A1354" s="134"/>
      <c r="B1354" s="33"/>
      <c r="C1354" s="33"/>
      <c r="D1354" s="135"/>
      <c r="E1354" s="33"/>
      <c r="F1354" s="136"/>
      <c r="G1354" s="33"/>
      <c r="H1354" s="135"/>
      <c r="I1354" s="137"/>
      <c r="J1354" s="137"/>
      <c r="K1354" s="33"/>
      <c r="L1354" s="138"/>
      <c r="M1354" s="33"/>
      <c r="N1354" s="135"/>
      <c r="O1354" s="90"/>
      <c r="P1354" s="139"/>
      <c r="Q1354" s="38"/>
      <c r="R1354" s="38"/>
      <c r="S1354" s="38"/>
      <c r="T1354" s="38"/>
      <c r="U1354" s="38"/>
      <c r="V1354" s="38"/>
    </row>
    <row r="1355">
      <c r="A1355" s="134"/>
      <c r="B1355" s="33"/>
      <c r="C1355" s="33"/>
      <c r="D1355" s="135"/>
      <c r="E1355" s="33"/>
      <c r="F1355" s="136"/>
      <c r="G1355" s="33"/>
      <c r="H1355" s="135"/>
      <c r="I1355" s="137"/>
      <c r="J1355" s="137"/>
      <c r="K1355" s="33"/>
      <c r="L1355" s="138"/>
      <c r="M1355" s="33"/>
      <c r="N1355" s="135"/>
      <c r="O1355" s="90"/>
      <c r="P1355" s="139"/>
      <c r="Q1355" s="38"/>
      <c r="R1355" s="38"/>
      <c r="S1355" s="38"/>
      <c r="T1355" s="38"/>
      <c r="U1355" s="38"/>
      <c r="V1355" s="38"/>
    </row>
    <row r="1356">
      <c r="A1356" s="134"/>
      <c r="B1356" s="33"/>
      <c r="C1356" s="33"/>
      <c r="D1356" s="135"/>
      <c r="E1356" s="33"/>
      <c r="F1356" s="136"/>
      <c r="G1356" s="33"/>
      <c r="H1356" s="135"/>
      <c r="I1356" s="137"/>
      <c r="J1356" s="137"/>
      <c r="K1356" s="33"/>
      <c r="L1356" s="138"/>
      <c r="M1356" s="33"/>
      <c r="N1356" s="135"/>
      <c r="O1356" s="90"/>
      <c r="P1356" s="139"/>
      <c r="Q1356" s="38"/>
      <c r="R1356" s="38"/>
      <c r="S1356" s="38"/>
      <c r="T1356" s="38"/>
      <c r="U1356" s="38"/>
      <c r="V1356" s="38"/>
    </row>
    <row r="1357">
      <c r="A1357" s="134"/>
      <c r="B1357" s="33"/>
      <c r="C1357" s="33"/>
      <c r="D1357" s="135"/>
      <c r="E1357" s="33"/>
      <c r="F1357" s="136"/>
      <c r="G1357" s="33"/>
      <c r="H1357" s="135"/>
      <c r="I1357" s="137"/>
      <c r="J1357" s="137"/>
      <c r="K1357" s="33"/>
      <c r="L1357" s="138"/>
      <c r="M1357" s="33"/>
      <c r="N1357" s="135"/>
      <c r="O1357" s="90"/>
      <c r="P1357" s="139"/>
      <c r="Q1357" s="38"/>
      <c r="R1357" s="38"/>
      <c r="S1357" s="38"/>
      <c r="T1357" s="38"/>
      <c r="U1357" s="38"/>
      <c r="V1357" s="38"/>
    </row>
    <row r="1358">
      <c r="A1358" s="134"/>
      <c r="B1358" s="33"/>
      <c r="C1358" s="33"/>
      <c r="D1358" s="135"/>
      <c r="E1358" s="33"/>
      <c r="F1358" s="136"/>
      <c r="G1358" s="33"/>
      <c r="H1358" s="135"/>
      <c r="I1358" s="137"/>
      <c r="J1358" s="137"/>
      <c r="K1358" s="33"/>
      <c r="L1358" s="138"/>
      <c r="M1358" s="33"/>
      <c r="N1358" s="135"/>
      <c r="O1358" s="90"/>
      <c r="P1358" s="139"/>
      <c r="Q1358" s="38"/>
      <c r="R1358" s="38"/>
      <c r="S1358" s="38"/>
      <c r="T1358" s="38"/>
      <c r="U1358" s="38"/>
      <c r="V1358" s="38"/>
    </row>
    <row r="1359">
      <c r="A1359" s="134"/>
      <c r="B1359" s="33"/>
      <c r="C1359" s="33"/>
      <c r="D1359" s="135"/>
      <c r="E1359" s="33"/>
      <c r="F1359" s="136"/>
      <c r="G1359" s="33"/>
      <c r="H1359" s="135"/>
      <c r="I1359" s="137"/>
      <c r="J1359" s="137"/>
      <c r="K1359" s="33"/>
      <c r="L1359" s="138"/>
      <c r="M1359" s="33"/>
      <c r="N1359" s="135"/>
      <c r="O1359" s="90"/>
      <c r="P1359" s="139"/>
      <c r="Q1359" s="38"/>
      <c r="R1359" s="38"/>
      <c r="S1359" s="38"/>
      <c r="T1359" s="38"/>
      <c r="U1359" s="38"/>
      <c r="V1359" s="38"/>
    </row>
    <row r="1360">
      <c r="A1360" s="134"/>
      <c r="B1360" s="33"/>
      <c r="C1360" s="33"/>
      <c r="D1360" s="135"/>
      <c r="E1360" s="33"/>
      <c r="F1360" s="136"/>
      <c r="G1360" s="33"/>
      <c r="H1360" s="135"/>
      <c r="I1360" s="137"/>
      <c r="J1360" s="137"/>
      <c r="K1360" s="33"/>
      <c r="L1360" s="138"/>
      <c r="M1360" s="33"/>
      <c r="N1360" s="135"/>
      <c r="O1360" s="90"/>
      <c r="P1360" s="139"/>
      <c r="Q1360" s="38"/>
      <c r="R1360" s="38"/>
      <c r="S1360" s="38"/>
      <c r="T1360" s="38"/>
      <c r="U1360" s="38"/>
      <c r="V1360" s="38"/>
    </row>
    <row r="1361">
      <c r="A1361" s="134"/>
      <c r="B1361" s="33"/>
      <c r="C1361" s="33"/>
      <c r="D1361" s="135"/>
      <c r="E1361" s="33"/>
      <c r="F1361" s="136"/>
      <c r="G1361" s="33"/>
      <c r="H1361" s="135"/>
      <c r="I1361" s="137"/>
      <c r="J1361" s="137"/>
      <c r="K1361" s="33"/>
      <c r="L1361" s="138"/>
      <c r="M1361" s="33"/>
      <c r="N1361" s="135"/>
      <c r="O1361" s="90"/>
      <c r="P1361" s="139"/>
      <c r="Q1361" s="38"/>
      <c r="R1361" s="38"/>
      <c r="S1361" s="38"/>
      <c r="T1361" s="38"/>
      <c r="U1361" s="38"/>
      <c r="V1361" s="38"/>
    </row>
    <row r="1362">
      <c r="A1362" s="134"/>
      <c r="B1362" s="33"/>
      <c r="C1362" s="33"/>
      <c r="D1362" s="135"/>
      <c r="E1362" s="33"/>
      <c r="F1362" s="136"/>
      <c r="G1362" s="33"/>
      <c r="H1362" s="135"/>
      <c r="I1362" s="137"/>
      <c r="J1362" s="137"/>
      <c r="K1362" s="33"/>
      <c r="L1362" s="138"/>
      <c r="M1362" s="33"/>
      <c r="N1362" s="135"/>
      <c r="O1362" s="90"/>
      <c r="P1362" s="139"/>
      <c r="Q1362" s="38"/>
      <c r="R1362" s="38"/>
      <c r="S1362" s="38"/>
      <c r="T1362" s="38"/>
      <c r="U1362" s="38"/>
      <c r="V1362" s="38"/>
    </row>
    <row r="1363">
      <c r="A1363" s="134"/>
      <c r="B1363" s="33"/>
      <c r="C1363" s="33"/>
      <c r="D1363" s="135"/>
      <c r="E1363" s="33"/>
      <c r="F1363" s="136"/>
      <c r="G1363" s="33"/>
      <c r="H1363" s="135"/>
      <c r="I1363" s="137"/>
      <c r="J1363" s="137"/>
      <c r="K1363" s="33"/>
      <c r="L1363" s="138"/>
      <c r="M1363" s="33"/>
      <c r="N1363" s="135"/>
      <c r="O1363" s="90"/>
      <c r="P1363" s="139"/>
      <c r="Q1363" s="38"/>
      <c r="R1363" s="38"/>
      <c r="S1363" s="38"/>
      <c r="T1363" s="38"/>
      <c r="U1363" s="38"/>
      <c r="V1363" s="38"/>
    </row>
    <row r="1364">
      <c r="A1364" s="134"/>
      <c r="B1364" s="33"/>
      <c r="C1364" s="33"/>
      <c r="D1364" s="135"/>
      <c r="E1364" s="33"/>
      <c r="F1364" s="136"/>
      <c r="G1364" s="33"/>
      <c r="H1364" s="135"/>
      <c r="I1364" s="137"/>
      <c r="J1364" s="137"/>
      <c r="K1364" s="33"/>
      <c r="L1364" s="138"/>
      <c r="M1364" s="33"/>
      <c r="N1364" s="135"/>
      <c r="O1364" s="90"/>
      <c r="P1364" s="139"/>
      <c r="Q1364" s="38"/>
      <c r="R1364" s="38"/>
      <c r="S1364" s="38"/>
      <c r="T1364" s="38"/>
      <c r="U1364" s="38"/>
      <c r="V1364" s="38"/>
    </row>
    <row r="1365">
      <c r="A1365" s="134"/>
      <c r="B1365" s="33"/>
      <c r="C1365" s="33"/>
      <c r="D1365" s="135"/>
      <c r="E1365" s="33"/>
      <c r="F1365" s="136"/>
      <c r="G1365" s="33"/>
      <c r="H1365" s="135"/>
      <c r="I1365" s="137"/>
      <c r="J1365" s="137"/>
      <c r="K1365" s="33"/>
      <c r="L1365" s="138"/>
      <c r="M1365" s="33"/>
      <c r="N1365" s="135"/>
      <c r="O1365" s="90"/>
      <c r="P1365" s="139"/>
      <c r="Q1365" s="38"/>
      <c r="R1365" s="38"/>
      <c r="S1365" s="38"/>
      <c r="T1365" s="38"/>
      <c r="U1365" s="38"/>
      <c r="V1365" s="38"/>
    </row>
    <row r="1366">
      <c r="A1366" s="134"/>
      <c r="B1366" s="33"/>
      <c r="C1366" s="33"/>
      <c r="D1366" s="135"/>
      <c r="E1366" s="33"/>
      <c r="F1366" s="136"/>
      <c r="G1366" s="33"/>
      <c r="H1366" s="135"/>
      <c r="I1366" s="137"/>
      <c r="J1366" s="137"/>
      <c r="K1366" s="33"/>
      <c r="L1366" s="138"/>
      <c r="M1366" s="33"/>
      <c r="N1366" s="135"/>
      <c r="O1366" s="90"/>
      <c r="P1366" s="139"/>
      <c r="Q1366" s="38"/>
      <c r="R1366" s="38"/>
      <c r="S1366" s="38"/>
      <c r="T1366" s="38"/>
      <c r="U1366" s="38"/>
      <c r="V1366" s="38"/>
    </row>
    <row r="1367">
      <c r="A1367" s="134"/>
      <c r="B1367" s="33"/>
      <c r="C1367" s="33"/>
      <c r="D1367" s="135"/>
      <c r="E1367" s="33"/>
      <c r="F1367" s="136"/>
      <c r="G1367" s="33"/>
      <c r="H1367" s="135"/>
      <c r="I1367" s="137"/>
      <c r="J1367" s="137"/>
      <c r="K1367" s="33"/>
      <c r="L1367" s="138"/>
      <c r="M1367" s="33"/>
      <c r="N1367" s="135"/>
      <c r="O1367" s="90"/>
      <c r="P1367" s="139"/>
      <c r="Q1367" s="38"/>
      <c r="R1367" s="38"/>
      <c r="S1367" s="38"/>
      <c r="T1367" s="38"/>
      <c r="U1367" s="38"/>
      <c r="V1367" s="38"/>
    </row>
    <row r="1368">
      <c r="A1368" s="134"/>
      <c r="B1368" s="33"/>
      <c r="C1368" s="33"/>
      <c r="D1368" s="135"/>
      <c r="E1368" s="33"/>
      <c r="F1368" s="136"/>
      <c r="G1368" s="33"/>
      <c r="H1368" s="135"/>
      <c r="I1368" s="137"/>
      <c r="J1368" s="137"/>
      <c r="K1368" s="33"/>
      <c r="L1368" s="138"/>
      <c r="M1368" s="33"/>
      <c r="N1368" s="135"/>
      <c r="O1368" s="90"/>
      <c r="P1368" s="139"/>
      <c r="Q1368" s="38"/>
      <c r="R1368" s="38"/>
      <c r="S1368" s="38"/>
      <c r="T1368" s="38"/>
      <c r="U1368" s="38"/>
      <c r="V1368" s="38"/>
    </row>
    <row r="1369">
      <c r="A1369" s="134"/>
      <c r="B1369" s="33"/>
      <c r="C1369" s="33"/>
      <c r="D1369" s="135"/>
      <c r="E1369" s="33"/>
      <c r="F1369" s="136"/>
      <c r="G1369" s="33"/>
      <c r="H1369" s="135"/>
      <c r="I1369" s="137"/>
      <c r="J1369" s="137"/>
      <c r="K1369" s="33"/>
      <c r="L1369" s="138"/>
      <c r="M1369" s="33"/>
      <c r="N1369" s="135"/>
      <c r="O1369" s="90"/>
      <c r="P1369" s="139"/>
      <c r="Q1369" s="38"/>
      <c r="R1369" s="38"/>
      <c r="S1369" s="38"/>
      <c r="T1369" s="38"/>
      <c r="U1369" s="38"/>
      <c r="V1369" s="38"/>
    </row>
    <row r="1370">
      <c r="A1370" s="134"/>
      <c r="B1370" s="33"/>
      <c r="C1370" s="33"/>
      <c r="D1370" s="135"/>
      <c r="E1370" s="33"/>
      <c r="F1370" s="136"/>
      <c r="G1370" s="33"/>
      <c r="H1370" s="135"/>
      <c r="I1370" s="137"/>
      <c r="J1370" s="137"/>
      <c r="K1370" s="33"/>
      <c r="L1370" s="138"/>
      <c r="M1370" s="33"/>
      <c r="N1370" s="135"/>
      <c r="O1370" s="90"/>
      <c r="P1370" s="139"/>
      <c r="Q1370" s="38"/>
      <c r="R1370" s="38"/>
      <c r="S1370" s="38"/>
      <c r="T1370" s="38"/>
      <c r="U1370" s="38"/>
      <c r="V1370" s="38"/>
    </row>
    <row r="1371">
      <c r="A1371" s="134"/>
      <c r="B1371" s="33"/>
      <c r="C1371" s="33"/>
      <c r="D1371" s="135"/>
      <c r="E1371" s="33"/>
      <c r="F1371" s="136"/>
      <c r="G1371" s="33"/>
      <c r="H1371" s="135"/>
      <c r="I1371" s="137"/>
      <c r="J1371" s="137"/>
      <c r="K1371" s="33"/>
      <c r="L1371" s="138"/>
      <c r="M1371" s="33"/>
      <c r="N1371" s="135"/>
      <c r="O1371" s="90"/>
      <c r="P1371" s="139"/>
      <c r="Q1371" s="38"/>
      <c r="R1371" s="38"/>
      <c r="S1371" s="38"/>
      <c r="T1371" s="38"/>
      <c r="U1371" s="38"/>
      <c r="V1371" s="38"/>
    </row>
    <row r="1372">
      <c r="A1372" s="134"/>
      <c r="B1372" s="33"/>
      <c r="C1372" s="33"/>
      <c r="D1372" s="135"/>
      <c r="E1372" s="33"/>
      <c r="F1372" s="136"/>
      <c r="G1372" s="33"/>
      <c r="H1372" s="135"/>
      <c r="I1372" s="137"/>
      <c r="J1372" s="137"/>
      <c r="K1372" s="33"/>
      <c r="L1372" s="138"/>
      <c r="M1372" s="33"/>
      <c r="N1372" s="135"/>
      <c r="O1372" s="90"/>
      <c r="P1372" s="139"/>
      <c r="Q1372" s="38"/>
      <c r="R1372" s="38"/>
      <c r="S1372" s="38"/>
      <c r="T1372" s="38"/>
      <c r="U1372" s="38"/>
      <c r="V1372" s="38"/>
    </row>
    <row r="1373">
      <c r="A1373" s="134"/>
      <c r="B1373" s="33"/>
      <c r="C1373" s="33"/>
      <c r="D1373" s="135"/>
      <c r="E1373" s="33"/>
      <c r="F1373" s="136"/>
      <c r="G1373" s="33"/>
      <c r="H1373" s="135"/>
      <c r="I1373" s="137"/>
      <c r="J1373" s="137"/>
      <c r="K1373" s="33"/>
      <c r="L1373" s="138"/>
      <c r="M1373" s="33"/>
      <c r="N1373" s="135"/>
      <c r="O1373" s="90"/>
      <c r="P1373" s="139"/>
      <c r="Q1373" s="38"/>
      <c r="R1373" s="38"/>
      <c r="S1373" s="38"/>
      <c r="T1373" s="38"/>
      <c r="U1373" s="38"/>
      <c r="V1373" s="38"/>
    </row>
    <row r="1374">
      <c r="A1374" s="134"/>
      <c r="B1374" s="33"/>
      <c r="C1374" s="33"/>
      <c r="D1374" s="135"/>
      <c r="E1374" s="33"/>
      <c r="F1374" s="136"/>
      <c r="G1374" s="33"/>
      <c r="H1374" s="135"/>
      <c r="I1374" s="137"/>
      <c r="J1374" s="137"/>
      <c r="K1374" s="33"/>
      <c r="L1374" s="138"/>
      <c r="M1374" s="33"/>
      <c r="N1374" s="135"/>
      <c r="O1374" s="90"/>
      <c r="P1374" s="139"/>
      <c r="Q1374" s="38"/>
      <c r="R1374" s="38"/>
      <c r="S1374" s="38"/>
      <c r="T1374" s="38"/>
      <c r="U1374" s="38"/>
      <c r="V1374" s="38"/>
    </row>
    <row r="1375">
      <c r="A1375" s="134"/>
      <c r="B1375" s="33"/>
      <c r="C1375" s="33"/>
      <c r="D1375" s="135"/>
      <c r="E1375" s="33"/>
      <c r="F1375" s="136"/>
      <c r="G1375" s="33"/>
      <c r="H1375" s="135"/>
      <c r="I1375" s="137"/>
      <c r="J1375" s="137"/>
      <c r="K1375" s="33"/>
      <c r="L1375" s="138"/>
      <c r="M1375" s="33"/>
      <c r="N1375" s="135"/>
      <c r="O1375" s="90"/>
      <c r="P1375" s="139"/>
      <c r="Q1375" s="38"/>
      <c r="R1375" s="38"/>
      <c r="S1375" s="38"/>
      <c r="T1375" s="38"/>
      <c r="U1375" s="38"/>
      <c r="V1375" s="38"/>
    </row>
    <row r="1376">
      <c r="A1376" s="134"/>
      <c r="B1376" s="33"/>
      <c r="C1376" s="33"/>
      <c r="D1376" s="135"/>
      <c r="E1376" s="33"/>
      <c r="F1376" s="136"/>
      <c r="G1376" s="33"/>
      <c r="H1376" s="135"/>
      <c r="I1376" s="137"/>
      <c r="J1376" s="137"/>
      <c r="K1376" s="33"/>
      <c r="L1376" s="138"/>
      <c r="M1376" s="33"/>
      <c r="N1376" s="135"/>
      <c r="O1376" s="90"/>
      <c r="P1376" s="139"/>
      <c r="Q1376" s="38"/>
      <c r="R1376" s="38"/>
      <c r="S1376" s="38"/>
      <c r="T1376" s="38"/>
      <c r="U1376" s="38"/>
      <c r="V1376" s="38"/>
    </row>
    <row r="1377">
      <c r="A1377" s="134"/>
      <c r="B1377" s="33"/>
      <c r="C1377" s="33"/>
      <c r="D1377" s="135"/>
      <c r="E1377" s="33"/>
      <c r="F1377" s="136"/>
      <c r="G1377" s="33"/>
      <c r="H1377" s="135"/>
      <c r="I1377" s="137"/>
      <c r="J1377" s="137"/>
      <c r="K1377" s="33"/>
      <c r="L1377" s="138"/>
      <c r="M1377" s="33"/>
      <c r="N1377" s="135"/>
      <c r="O1377" s="90"/>
      <c r="P1377" s="139"/>
      <c r="Q1377" s="38"/>
      <c r="R1377" s="38"/>
      <c r="S1377" s="38"/>
      <c r="T1377" s="38"/>
      <c r="U1377" s="38"/>
      <c r="V1377" s="38"/>
    </row>
    <row r="1378">
      <c r="A1378" s="134"/>
      <c r="B1378" s="33"/>
      <c r="C1378" s="33"/>
      <c r="D1378" s="135"/>
      <c r="E1378" s="33"/>
      <c r="F1378" s="136"/>
      <c r="G1378" s="33"/>
      <c r="H1378" s="135"/>
      <c r="I1378" s="137"/>
      <c r="J1378" s="137"/>
      <c r="K1378" s="33"/>
      <c r="L1378" s="138"/>
      <c r="M1378" s="33"/>
      <c r="N1378" s="135"/>
      <c r="O1378" s="90"/>
      <c r="P1378" s="139"/>
      <c r="Q1378" s="38"/>
      <c r="R1378" s="38"/>
      <c r="S1378" s="38"/>
      <c r="T1378" s="38"/>
      <c r="U1378" s="38"/>
      <c r="V1378" s="38"/>
    </row>
    <row r="1379">
      <c r="A1379" s="134"/>
      <c r="B1379" s="33"/>
      <c r="C1379" s="33"/>
      <c r="D1379" s="135"/>
      <c r="E1379" s="33"/>
      <c r="F1379" s="136"/>
      <c r="G1379" s="33"/>
      <c r="H1379" s="135"/>
      <c r="I1379" s="137"/>
      <c r="J1379" s="137"/>
      <c r="K1379" s="33"/>
      <c r="L1379" s="138"/>
      <c r="M1379" s="33"/>
      <c r="N1379" s="135"/>
      <c r="O1379" s="90"/>
      <c r="P1379" s="139"/>
      <c r="Q1379" s="38"/>
      <c r="R1379" s="38"/>
      <c r="S1379" s="38"/>
      <c r="T1379" s="38"/>
      <c r="U1379" s="38"/>
      <c r="V1379" s="38"/>
    </row>
    <row r="1380">
      <c r="A1380" s="134"/>
      <c r="B1380" s="33"/>
      <c r="C1380" s="33"/>
      <c r="D1380" s="135"/>
      <c r="E1380" s="33"/>
      <c r="F1380" s="136"/>
      <c r="G1380" s="33"/>
      <c r="H1380" s="135"/>
      <c r="I1380" s="137"/>
      <c r="J1380" s="137"/>
      <c r="K1380" s="33"/>
      <c r="L1380" s="138"/>
      <c r="M1380" s="33"/>
      <c r="N1380" s="135"/>
      <c r="O1380" s="90"/>
      <c r="P1380" s="139"/>
      <c r="Q1380" s="38"/>
      <c r="R1380" s="38"/>
      <c r="S1380" s="38"/>
      <c r="T1380" s="38"/>
      <c r="U1380" s="38"/>
      <c r="V1380" s="38"/>
    </row>
    <row r="1381">
      <c r="A1381" s="134"/>
      <c r="B1381" s="33"/>
      <c r="C1381" s="33"/>
      <c r="D1381" s="135"/>
      <c r="E1381" s="33"/>
      <c r="F1381" s="136"/>
      <c r="G1381" s="33"/>
      <c r="H1381" s="135"/>
      <c r="I1381" s="137"/>
      <c r="J1381" s="137"/>
      <c r="K1381" s="33"/>
      <c r="L1381" s="138"/>
      <c r="M1381" s="33"/>
      <c r="N1381" s="135"/>
      <c r="O1381" s="90"/>
      <c r="P1381" s="139"/>
      <c r="Q1381" s="38"/>
      <c r="R1381" s="38"/>
      <c r="S1381" s="38"/>
      <c r="T1381" s="38"/>
      <c r="U1381" s="38"/>
      <c r="V1381" s="38"/>
    </row>
    <row r="1382">
      <c r="A1382" s="134"/>
      <c r="B1382" s="33"/>
      <c r="C1382" s="33"/>
      <c r="D1382" s="135"/>
      <c r="E1382" s="33"/>
      <c r="F1382" s="136"/>
      <c r="G1382" s="33"/>
      <c r="H1382" s="135"/>
      <c r="I1382" s="137"/>
      <c r="J1382" s="137"/>
      <c r="K1382" s="33"/>
      <c r="L1382" s="138"/>
      <c r="M1382" s="33"/>
      <c r="N1382" s="135"/>
      <c r="O1382" s="90"/>
      <c r="P1382" s="139"/>
      <c r="Q1382" s="38"/>
      <c r="R1382" s="38"/>
      <c r="S1382" s="38"/>
      <c r="T1382" s="38"/>
      <c r="U1382" s="38"/>
      <c r="V1382" s="38"/>
    </row>
    <row r="1383">
      <c r="A1383" s="134"/>
      <c r="B1383" s="33"/>
      <c r="C1383" s="33"/>
      <c r="D1383" s="135"/>
      <c r="E1383" s="33"/>
      <c r="F1383" s="136"/>
      <c r="G1383" s="33"/>
      <c r="H1383" s="135"/>
      <c r="I1383" s="137"/>
      <c r="J1383" s="137"/>
      <c r="K1383" s="33"/>
      <c r="L1383" s="138"/>
      <c r="M1383" s="33"/>
      <c r="N1383" s="135"/>
      <c r="O1383" s="90"/>
      <c r="P1383" s="139"/>
      <c r="Q1383" s="38"/>
      <c r="R1383" s="38"/>
      <c r="S1383" s="38"/>
      <c r="T1383" s="38"/>
      <c r="U1383" s="38"/>
      <c r="V1383" s="38"/>
    </row>
    <row r="1384">
      <c r="A1384" s="134"/>
      <c r="B1384" s="33"/>
      <c r="C1384" s="33"/>
      <c r="D1384" s="135"/>
      <c r="E1384" s="33"/>
      <c r="F1384" s="136"/>
      <c r="G1384" s="33"/>
      <c r="H1384" s="135"/>
      <c r="I1384" s="137"/>
      <c r="J1384" s="137"/>
      <c r="K1384" s="33"/>
      <c r="L1384" s="138"/>
      <c r="M1384" s="33"/>
      <c r="N1384" s="135"/>
      <c r="O1384" s="90"/>
      <c r="P1384" s="139"/>
      <c r="Q1384" s="38"/>
      <c r="R1384" s="38"/>
      <c r="S1384" s="38"/>
      <c r="T1384" s="38"/>
      <c r="U1384" s="38"/>
      <c r="V1384" s="38"/>
    </row>
    <row r="1385">
      <c r="A1385" s="134"/>
      <c r="B1385" s="33"/>
      <c r="C1385" s="33"/>
      <c r="D1385" s="135"/>
      <c r="E1385" s="33"/>
      <c r="F1385" s="136"/>
      <c r="G1385" s="33"/>
      <c r="H1385" s="135"/>
      <c r="I1385" s="137"/>
      <c r="J1385" s="137"/>
      <c r="K1385" s="33"/>
      <c r="L1385" s="138"/>
      <c r="M1385" s="33"/>
      <c r="N1385" s="135"/>
      <c r="O1385" s="90"/>
      <c r="P1385" s="139"/>
      <c r="Q1385" s="38"/>
      <c r="R1385" s="38"/>
      <c r="S1385" s="38"/>
      <c r="T1385" s="38"/>
      <c r="U1385" s="38"/>
      <c r="V1385" s="38"/>
    </row>
    <row r="1386">
      <c r="A1386" s="134"/>
      <c r="B1386" s="33"/>
      <c r="C1386" s="33"/>
      <c r="D1386" s="135"/>
      <c r="E1386" s="33"/>
      <c r="F1386" s="136"/>
      <c r="G1386" s="33"/>
      <c r="H1386" s="135"/>
      <c r="I1386" s="137"/>
      <c r="J1386" s="137"/>
      <c r="K1386" s="33"/>
      <c r="L1386" s="138"/>
      <c r="M1386" s="33"/>
      <c r="N1386" s="135"/>
      <c r="O1386" s="90"/>
      <c r="P1386" s="139"/>
      <c r="Q1386" s="38"/>
      <c r="R1386" s="38"/>
      <c r="S1386" s="38"/>
      <c r="T1386" s="38"/>
      <c r="U1386" s="38"/>
      <c r="V1386" s="38"/>
    </row>
    <row r="1387">
      <c r="A1387" s="134"/>
      <c r="B1387" s="33"/>
      <c r="C1387" s="33"/>
      <c r="D1387" s="135"/>
      <c r="E1387" s="33"/>
      <c r="F1387" s="136"/>
      <c r="G1387" s="33"/>
      <c r="H1387" s="135"/>
      <c r="I1387" s="137"/>
      <c r="J1387" s="137"/>
      <c r="K1387" s="33"/>
      <c r="L1387" s="138"/>
      <c r="M1387" s="33"/>
      <c r="N1387" s="135"/>
      <c r="O1387" s="90"/>
      <c r="P1387" s="139"/>
      <c r="Q1387" s="38"/>
      <c r="R1387" s="38"/>
      <c r="S1387" s="38"/>
      <c r="T1387" s="38"/>
      <c r="U1387" s="38"/>
      <c r="V1387" s="38"/>
    </row>
    <row r="1388">
      <c r="A1388" s="134"/>
      <c r="B1388" s="33"/>
      <c r="C1388" s="33"/>
      <c r="D1388" s="135"/>
      <c r="E1388" s="33"/>
      <c r="F1388" s="136"/>
      <c r="G1388" s="33"/>
      <c r="H1388" s="135"/>
      <c r="I1388" s="137"/>
      <c r="J1388" s="137"/>
      <c r="K1388" s="33"/>
      <c r="L1388" s="138"/>
      <c r="M1388" s="33"/>
      <c r="N1388" s="135"/>
      <c r="O1388" s="90"/>
      <c r="P1388" s="139"/>
      <c r="Q1388" s="38"/>
      <c r="R1388" s="38"/>
      <c r="S1388" s="38"/>
      <c r="T1388" s="38"/>
      <c r="U1388" s="38"/>
      <c r="V1388" s="38"/>
    </row>
    <row r="1389">
      <c r="A1389" s="134"/>
      <c r="B1389" s="33"/>
      <c r="C1389" s="33"/>
      <c r="D1389" s="135"/>
      <c r="E1389" s="33"/>
      <c r="F1389" s="136"/>
      <c r="G1389" s="33"/>
      <c r="H1389" s="135"/>
      <c r="I1389" s="137"/>
      <c r="J1389" s="137"/>
      <c r="K1389" s="33"/>
      <c r="L1389" s="138"/>
      <c r="M1389" s="33"/>
      <c r="N1389" s="135"/>
      <c r="O1389" s="90"/>
      <c r="P1389" s="139"/>
      <c r="Q1389" s="38"/>
      <c r="R1389" s="38"/>
      <c r="S1389" s="38"/>
      <c r="T1389" s="38"/>
      <c r="U1389" s="38"/>
      <c r="V1389" s="38"/>
    </row>
    <row r="1390">
      <c r="A1390" s="134"/>
      <c r="B1390" s="33"/>
      <c r="C1390" s="33"/>
      <c r="D1390" s="135"/>
      <c r="E1390" s="33"/>
      <c r="F1390" s="136"/>
      <c r="G1390" s="33"/>
      <c r="H1390" s="135"/>
      <c r="I1390" s="137"/>
      <c r="J1390" s="137"/>
      <c r="K1390" s="33"/>
      <c r="L1390" s="138"/>
      <c r="M1390" s="33"/>
      <c r="N1390" s="135"/>
      <c r="O1390" s="90"/>
      <c r="P1390" s="139"/>
      <c r="Q1390" s="38"/>
      <c r="R1390" s="38"/>
      <c r="S1390" s="38"/>
      <c r="T1390" s="38"/>
      <c r="U1390" s="38"/>
      <c r="V1390" s="38"/>
    </row>
    <row r="1391">
      <c r="A1391" s="134"/>
      <c r="B1391" s="33"/>
      <c r="C1391" s="33"/>
      <c r="D1391" s="135"/>
      <c r="E1391" s="33"/>
      <c r="F1391" s="136"/>
      <c r="G1391" s="33"/>
      <c r="H1391" s="135"/>
      <c r="I1391" s="137"/>
      <c r="J1391" s="137"/>
      <c r="K1391" s="33"/>
      <c r="L1391" s="138"/>
      <c r="M1391" s="33"/>
      <c r="N1391" s="135"/>
      <c r="O1391" s="90"/>
      <c r="P1391" s="139"/>
      <c r="Q1391" s="38"/>
      <c r="R1391" s="38"/>
      <c r="S1391" s="38"/>
      <c r="T1391" s="38"/>
      <c r="U1391" s="38"/>
      <c r="V1391" s="38"/>
    </row>
    <row r="1392">
      <c r="A1392" s="134"/>
      <c r="B1392" s="33"/>
      <c r="C1392" s="33"/>
      <c r="D1392" s="135"/>
      <c r="E1392" s="33"/>
      <c r="F1392" s="136"/>
      <c r="G1392" s="33"/>
      <c r="H1392" s="135"/>
      <c r="I1392" s="137"/>
      <c r="J1392" s="137"/>
      <c r="K1392" s="33"/>
      <c r="L1392" s="138"/>
      <c r="M1392" s="33"/>
      <c r="N1392" s="135"/>
      <c r="O1392" s="90"/>
      <c r="P1392" s="139"/>
      <c r="Q1392" s="38"/>
      <c r="R1392" s="38"/>
      <c r="S1392" s="38"/>
      <c r="T1392" s="38"/>
      <c r="U1392" s="38"/>
      <c r="V1392" s="38"/>
    </row>
    <row r="1393">
      <c r="A1393" s="134"/>
      <c r="B1393" s="33"/>
      <c r="C1393" s="33"/>
      <c r="D1393" s="135"/>
      <c r="E1393" s="33"/>
      <c r="F1393" s="136"/>
      <c r="G1393" s="33"/>
      <c r="H1393" s="135"/>
      <c r="I1393" s="137"/>
      <c r="J1393" s="137"/>
      <c r="K1393" s="33"/>
      <c r="L1393" s="138"/>
      <c r="M1393" s="33"/>
      <c r="N1393" s="135"/>
      <c r="O1393" s="90"/>
      <c r="P1393" s="139"/>
      <c r="Q1393" s="38"/>
      <c r="R1393" s="38"/>
      <c r="S1393" s="38"/>
      <c r="T1393" s="38"/>
      <c r="U1393" s="38"/>
      <c r="V1393" s="38"/>
    </row>
    <row r="1394">
      <c r="A1394" s="134"/>
      <c r="B1394" s="33"/>
      <c r="C1394" s="33"/>
      <c r="D1394" s="135"/>
      <c r="E1394" s="33"/>
      <c r="F1394" s="136"/>
      <c r="G1394" s="33"/>
      <c r="H1394" s="135"/>
      <c r="I1394" s="137"/>
      <c r="J1394" s="137"/>
      <c r="K1394" s="33"/>
      <c r="L1394" s="138"/>
      <c r="M1394" s="33"/>
      <c r="N1394" s="135"/>
      <c r="O1394" s="90"/>
      <c r="P1394" s="139"/>
      <c r="Q1394" s="38"/>
      <c r="R1394" s="38"/>
      <c r="S1394" s="38"/>
      <c r="T1394" s="38"/>
      <c r="U1394" s="38"/>
      <c r="V1394" s="38"/>
    </row>
    <row r="1395">
      <c r="A1395" s="134"/>
      <c r="B1395" s="33"/>
      <c r="C1395" s="33"/>
      <c r="D1395" s="135"/>
      <c r="E1395" s="33"/>
      <c r="F1395" s="136"/>
      <c r="G1395" s="33"/>
      <c r="H1395" s="135"/>
      <c r="I1395" s="137"/>
      <c r="J1395" s="137"/>
      <c r="K1395" s="33"/>
      <c r="L1395" s="138"/>
      <c r="M1395" s="33"/>
      <c r="N1395" s="135"/>
      <c r="O1395" s="90"/>
      <c r="P1395" s="139"/>
      <c r="Q1395" s="38"/>
      <c r="R1395" s="38"/>
      <c r="S1395" s="38"/>
      <c r="T1395" s="38"/>
      <c r="U1395" s="38"/>
      <c r="V1395" s="38"/>
    </row>
    <row r="1396">
      <c r="A1396" s="134"/>
      <c r="B1396" s="33"/>
      <c r="C1396" s="33"/>
      <c r="D1396" s="135"/>
      <c r="E1396" s="33"/>
      <c r="F1396" s="136"/>
      <c r="G1396" s="33"/>
      <c r="H1396" s="135"/>
      <c r="I1396" s="137"/>
      <c r="J1396" s="137"/>
      <c r="K1396" s="33"/>
      <c r="L1396" s="138"/>
      <c r="M1396" s="33"/>
      <c r="N1396" s="135"/>
      <c r="O1396" s="90"/>
      <c r="P1396" s="139"/>
      <c r="Q1396" s="38"/>
      <c r="R1396" s="38"/>
      <c r="S1396" s="38"/>
      <c r="T1396" s="38"/>
      <c r="U1396" s="38"/>
      <c r="V1396" s="38"/>
    </row>
    <row r="1397">
      <c r="A1397" s="134"/>
      <c r="B1397" s="33"/>
      <c r="C1397" s="33"/>
      <c r="D1397" s="135"/>
      <c r="E1397" s="33"/>
      <c r="F1397" s="136"/>
      <c r="G1397" s="33"/>
      <c r="H1397" s="135"/>
      <c r="I1397" s="137"/>
      <c r="J1397" s="137"/>
      <c r="K1397" s="33"/>
      <c r="L1397" s="138"/>
      <c r="M1397" s="33"/>
      <c r="N1397" s="135"/>
      <c r="O1397" s="90"/>
      <c r="P1397" s="139"/>
      <c r="Q1397" s="38"/>
      <c r="R1397" s="38"/>
      <c r="S1397" s="38"/>
      <c r="T1397" s="38"/>
      <c r="U1397" s="38"/>
      <c r="V1397" s="38"/>
    </row>
    <row r="1398">
      <c r="A1398" s="134"/>
      <c r="B1398" s="33"/>
      <c r="C1398" s="33"/>
      <c r="D1398" s="135"/>
      <c r="E1398" s="33"/>
      <c r="F1398" s="136"/>
      <c r="G1398" s="33"/>
      <c r="H1398" s="135"/>
      <c r="I1398" s="137"/>
      <c r="J1398" s="137"/>
      <c r="K1398" s="33"/>
      <c r="L1398" s="138"/>
      <c r="M1398" s="33"/>
      <c r="N1398" s="135"/>
      <c r="O1398" s="90"/>
      <c r="P1398" s="139"/>
      <c r="Q1398" s="38"/>
      <c r="R1398" s="38"/>
      <c r="S1398" s="38"/>
      <c r="T1398" s="38"/>
      <c r="U1398" s="38"/>
      <c r="V1398" s="38"/>
    </row>
    <row r="1399">
      <c r="A1399" s="134"/>
      <c r="B1399" s="33"/>
      <c r="C1399" s="33"/>
      <c r="D1399" s="135"/>
      <c r="E1399" s="33"/>
      <c r="F1399" s="136"/>
      <c r="G1399" s="33"/>
      <c r="H1399" s="135"/>
      <c r="I1399" s="137"/>
      <c r="J1399" s="137"/>
      <c r="K1399" s="33"/>
      <c r="L1399" s="138"/>
      <c r="M1399" s="33"/>
      <c r="N1399" s="135"/>
      <c r="O1399" s="90"/>
      <c r="P1399" s="139"/>
      <c r="Q1399" s="38"/>
      <c r="R1399" s="38"/>
      <c r="S1399" s="38"/>
      <c r="T1399" s="38"/>
      <c r="U1399" s="38"/>
      <c r="V1399" s="38"/>
    </row>
    <row r="1400">
      <c r="A1400" s="134"/>
      <c r="B1400" s="33"/>
      <c r="C1400" s="33"/>
      <c r="D1400" s="135"/>
      <c r="E1400" s="33"/>
      <c r="F1400" s="136"/>
      <c r="G1400" s="33"/>
      <c r="H1400" s="135"/>
      <c r="I1400" s="137"/>
      <c r="J1400" s="137"/>
      <c r="K1400" s="33"/>
      <c r="L1400" s="138"/>
      <c r="M1400" s="33"/>
      <c r="N1400" s="135"/>
      <c r="O1400" s="90"/>
      <c r="P1400" s="139"/>
      <c r="Q1400" s="38"/>
      <c r="R1400" s="38"/>
      <c r="S1400" s="38"/>
      <c r="T1400" s="38"/>
      <c r="U1400" s="38"/>
      <c r="V1400" s="38"/>
    </row>
    <row r="1401">
      <c r="A1401" s="134"/>
      <c r="B1401" s="33"/>
      <c r="C1401" s="33"/>
      <c r="D1401" s="135"/>
      <c r="E1401" s="33"/>
      <c r="F1401" s="136"/>
      <c r="G1401" s="33"/>
      <c r="H1401" s="135"/>
      <c r="I1401" s="137"/>
      <c r="J1401" s="137"/>
      <c r="K1401" s="33"/>
      <c r="L1401" s="138"/>
      <c r="M1401" s="33"/>
      <c r="N1401" s="135"/>
      <c r="O1401" s="90"/>
      <c r="P1401" s="139"/>
      <c r="Q1401" s="38"/>
      <c r="R1401" s="38"/>
      <c r="S1401" s="38"/>
      <c r="T1401" s="38"/>
      <c r="U1401" s="38"/>
      <c r="V1401" s="38"/>
    </row>
    <row r="1402">
      <c r="A1402" s="134"/>
      <c r="B1402" s="33"/>
      <c r="C1402" s="33"/>
      <c r="D1402" s="135"/>
      <c r="E1402" s="33"/>
      <c r="F1402" s="136"/>
      <c r="G1402" s="33"/>
      <c r="H1402" s="135"/>
      <c r="I1402" s="137"/>
      <c r="J1402" s="137"/>
      <c r="K1402" s="33"/>
      <c r="L1402" s="138"/>
      <c r="M1402" s="33"/>
      <c r="N1402" s="135"/>
      <c r="O1402" s="90"/>
      <c r="P1402" s="139"/>
      <c r="Q1402" s="38"/>
      <c r="R1402" s="38"/>
      <c r="S1402" s="38"/>
      <c r="T1402" s="38"/>
      <c r="U1402" s="38"/>
      <c r="V1402" s="38"/>
    </row>
    <row r="1403">
      <c r="A1403" s="134"/>
      <c r="B1403" s="33"/>
      <c r="C1403" s="33"/>
      <c r="D1403" s="135"/>
      <c r="E1403" s="33"/>
      <c r="F1403" s="136"/>
      <c r="G1403" s="33"/>
      <c r="H1403" s="135"/>
      <c r="I1403" s="137"/>
      <c r="J1403" s="137"/>
      <c r="K1403" s="33"/>
      <c r="L1403" s="138"/>
      <c r="M1403" s="33"/>
      <c r="N1403" s="135"/>
      <c r="O1403" s="90"/>
      <c r="P1403" s="139"/>
      <c r="Q1403" s="38"/>
      <c r="R1403" s="38"/>
      <c r="S1403" s="38"/>
      <c r="T1403" s="38"/>
      <c r="U1403" s="38"/>
      <c r="V1403" s="38"/>
    </row>
    <row r="1404">
      <c r="A1404" s="134"/>
      <c r="B1404" s="33"/>
      <c r="C1404" s="33"/>
      <c r="D1404" s="135"/>
      <c r="E1404" s="33"/>
      <c r="F1404" s="136"/>
      <c r="G1404" s="33"/>
      <c r="H1404" s="135"/>
      <c r="I1404" s="137"/>
      <c r="J1404" s="137"/>
      <c r="K1404" s="33"/>
      <c r="L1404" s="138"/>
      <c r="M1404" s="33"/>
      <c r="N1404" s="135"/>
      <c r="O1404" s="90"/>
      <c r="P1404" s="139"/>
      <c r="Q1404" s="38"/>
      <c r="R1404" s="38"/>
      <c r="S1404" s="38"/>
      <c r="T1404" s="38"/>
      <c r="U1404" s="38"/>
      <c r="V1404" s="38"/>
    </row>
    <row r="1405">
      <c r="A1405" s="134"/>
      <c r="B1405" s="33"/>
      <c r="C1405" s="33"/>
      <c r="D1405" s="135"/>
      <c r="E1405" s="33"/>
      <c r="F1405" s="136"/>
      <c r="G1405" s="33"/>
      <c r="H1405" s="135"/>
      <c r="I1405" s="137"/>
      <c r="J1405" s="137"/>
      <c r="K1405" s="33"/>
      <c r="L1405" s="138"/>
      <c r="M1405" s="33"/>
      <c r="N1405" s="135"/>
      <c r="O1405" s="90"/>
      <c r="P1405" s="139"/>
      <c r="Q1405" s="38"/>
      <c r="R1405" s="38"/>
      <c r="S1405" s="38"/>
      <c r="T1405" s="38"/>
      <c r="U1405" s="38"/>
      <c r="V1405" s="38"/>
    </row>
    <row r="1406">
      <c r="A1406" s="134"/>
      <c r="B1406" s="33"/>
      <c r="C1406" s="33"/>
      <c r="D1406" s="135"/>
      <c r="E1406" s="33"/>
      <c r="F1406" s="136"/>
      <c r="G1406" s="33"/>
      <c r="H1406" s="135"/>
      <c r="I1406" s="137"/>
      <c r="J1406" s="137"/>
      <c r="K1406" s="33"/>
      <c r="L1406" s="138"/>
      <c r="M1406" s="33"/>
      <c r="N1406" s="135"/>
      <c r="O1406" s="90"/>
      <c r="P1406" s="139"/>
      <c r="Q1406" s="38"/>
      <c r="R1406" s="38"/>
      <c r="S1406" s="38"/>
      <c r="T1406" s="38"/>
      <c r="U1406" s="38"/>
      <c r="V1406" s="38"/>
    </row>
    <row r="1407">
      <c r="A1407" s="134"/>
      <c r="B1407" s="33"/>
      <c r="C1407" s="33"/>
      <c r="D1407" s="135"/>
      <c r="E1407" s="33"/>
      <c r="F1407" s="136"/>
      <c r="G1407" s="33"/>
      <c r="H1407" s="135"/>
      <c r="I1407" s="137"/>
      <c r="J1407" s="137"/>
      <c r="K1407" s="33"/>
      <c r="L1407" s="138"/>
      <c r="M1407" s="33"/>
      <c r="N1407" s="135"/>
      <c r="O1407" s="90"/>
      <c r="P1407" s="139"/>
      <c r="Q1407" s="38"/>
      <c r="R1407" s="38"/>
      <c r="S1407" s="38"/>
      <c r="T1407" s="38"/>
      <c r="U1407" s="38"/>
      <c r="V1407" s="38"/>
    </row>
    <row r="1408">
      <c r="A1408" s="134"/>
      <c r="B1408" s="33"/>
      <c r="C1408" s="33"/>
      <c r="D1408" s="135"/>
      <c r="E1408" s="33"/>
      <c r="F1408" s="136"/>
      <c r="G1408" s="33"/>
      <c r="H1408" s="135"/>
      <c r="I1408" s="137"/>
      <c r="J1408" s="137"/>
      <c r="K1408" s="33"/>
      <c r="L1408" s="138"/>
      <c r="M1408" s="33"/>
      <c r="N1408" s="135"/>
      <c r="O1408" s="90"/>
      <c r="P1408" s="139"/>
      <c r="Q1408" s="38"/>
      <c r="R1408" s="38"/>
      <c r="S1408" s="38"/>
      <c r="T1408" s="38"/>
      <c r="U1408" s="38"/>
      <c r="V1408" s="38"/>
    </row>
    <row r="1409">
      <c r="A1409" s="134"/>
      <c r="B1409" s="33"/>
      <c r="C1409" s="33"/>
      <c r="D1409" s="135"/>
      <c r="E1409" s="33"/>
      <c r="F1409" s="136"/>
      <c r="G1409" s="33"/>
      <c r="H1409" s="135"/>
      <c r="I1409" s="137"/>
      <c r="J1409" s="137"/>
      <c r="K1409" s="33"/>
      <c r="L1409" s="138"/>
      <c r="M1409" s="33"/>
      <c r="N1409" s="135"/>
      <c r="O1409" s="90"/>
      <c r="P1409" s="139"/>
      <c r="Q1409" s="38"/>
      <c r="R1409" s="38"/>
      <c r="S1409" s="38"/>
      <c r="T1409" s="38"/>
      <c r="U1409" s="38"/>
      <c r="V1409" s="38"/>
    </row>
    <row r="1410">
      <c r="A1410" s="134"/>
      <c r="B1410" s="33"/>
      <c r="C1410" s="33"/>
      <c r="D1410" s="135"/>
      <c r="E1410" s="33"/>
      <c r="F1410" s="136"/>
      <c r="G1410" s="33"/>
      <c r="H1410" s="135"/>
      <c r="I1410" s="137"/>
      <c r="J1410" s="137"/>
      <c r="K1410" s="33"/>
      <c r="L1410" s="138"/>
      <c r="M1410" s="33"/>
      <c r="N1410" s="135"/>
      <c r="O1410" s="90"/>
      <c r="P1410" s="139"/>
      <c r="Q1410" s="38"/>
      <c r="R1410" s="38"/>
      <c r="S1410" s="38"/>
      <c r="T1410" s="38"/>
      <c r="U1410" s="38"/>
      <c r="V1410" s="38"/>
    </row>
    <row r="1411">
      <c r="A1411" s="134"/>
      <c r="B1411" s="33"/>
      <c r="C1411" s="33"/>
      <c r="D1411" s="135"/>
      <c r="E1411" s="33"/>
      <c r="F1411" s="136"/>
      <c r="G1411" s="33"/>
      <c r="H1411" s="135"/>
      <c r="I1411" s="137"/>
      <c r="J1411" s="137"/>
      <c r="K1411" s="33"/>
      <c r="L1411" s="138"/>
      <c r="M1411" s="33"/>
      <c r="N1411" s="135"/>
      <c r="O1411" s="90"/>
      <c r="P1411" s="139"/>
      <c r="Q1411" s="38"/>
      <c r="R1411" s="38"/>
      <c r="S1411" s="38"/>
      <c r="T1411" s="38"/>
      <c r="U1411" s="38"/>
      <c r="V1411" s="38"/>
    </row>
    <row r="1412">
      <c r="A1412" s="134"/>
      <c r="B1412" s="33"/>
      <c r="C1412" s="33"/>
      <c r="D1412" s="135"/>
      <c r="E1412" s="33"/>
      <c r="F1412" s="136"/>
      <c r="G1412" s="33"/>
      <c r="H1412" s="135"/>
      <c r="I1412" s="137"/>
      <c r="J1412" s="137"/>
      <c r="K1412" s="33"/>
      <c r="L1412" s="138"/>
      <c r="M1412" s="33"/>
      <c r="N1412" s="135"/>
      <c r="O1412" s="90"/>
      <c r="P1412" s="139"/>
      <c r="Q1412" s="38"/>
      <c r="R1412" s="38"/>
      <c r="S1412" s="38"/>
      <c r="T1412" s="38"/>
      <c r="U1412" s="38"/>
      <c r="V1412" s="38"/>
    </row>
    <row r="1413">
      <c r="A1413" s="134"/>
      <c r="B1413" s="33"/>
      <c r="C1413" s="33"/>
      <c r="D1413" s="135"/>
      <c r="E1413" s="33"/>
      <c r="F1413" s="136"/>
      <c r="G1413" s="33"/>
      <c r="H1413" s="135"/>
      <c r="I1413" s="137"/>
      <c r="J1413" s="137"/>
      <c r="K1413" s="33"/>
      <c r="L1413" s="138"/>
      <c r="M1413" s="33"/>
      <c r="N1413" s="135"/>
      <c r="O1413" s="90"/>
      <c r="P1413" s="139"/>
      <c r="Q1413" s="38"/>
      <c r="R1413" s="38"/>
      <c r="S1413" s="38"/>
      <c r="T1413" s="38"/>
      <c r="U1413" s="38"/>
      <c r="V1413" s="38"/>
    </row>
    <row r="1414">
      <c r="A1414" s="134"/>
      <c r="B1414" s="33"/>
      <c r="C1414" s="33"/>
      <c r="D1414" s="135"/>
      <c r="E1414" s="33"/>
      <c r="F1414" s="136"/>
      <c r="G1414" s="33"/>
      <c r="H1414" s="135"/>
      <c r="I1414" s="137"/>
      <c r="J1414" s="137"/>
      <c r="K1414" s="33"/>
      <c r="L1414" s="138"/>
      <c r="M1414" s="33"/>
      <c r="N1414" s="135"/>
      <c r="O1414" s="90"/>
      <c r="P1414" s="139"/>
      <c r="Q1414" s="38"/>
      <c r="R1414" s="38"/>
      <c r="S1414" s="38"/>
      <c r="T1414" s="38"/>
      <c r="U1414" s="38"/>
      <c r="V1414" s="38"/>
    </row>
    <row r="1415">
      <c r="A1415" s="134"/>
      <c r="B1415" s="33"/>
      <c r="C1415" s="33"/>
      <c r="D1415" s="135"/>
      <c r="E1415" s="33"/>
      <c r="F1415" s="136"/>
      <c r="G1415" s="33"/>
      <c r="H1415" s="135"/>
      <c r="I1415" s="137"/>
      <c r="J1415" s="137"/>
      <c r="K1415" s="33"/>
      <c r="L1415" s="138"/>
      <c r="M1415" s="33"/>
      <c r="N1415" s="135"/>
      <c r="O1415" s="90"/>
      <c r="P1415" s="139"/>
      <c r="Q1415" s="38"/>
      <c r="R1415" s="38"/>
      <c r="S1415" s="38"/>
      <c r="T1415" s="38"/>
      <c r="U1415" s="38"/>
      <c r="V1415" s="38"/>
    </row>
    <row r="1416">
      <c r="A1416" s="134"/>
      <c r="B1416" s="33"/>
      <c r="C1416" s="33"/>
      <c r="D1416" s="135"/>
      <c r="E1416" s="33"/>
      <c r="F1416" s="136"/>
      <c r="G1416" s="33"/>
      <c r="H1416" s="135"/>
      <c r="I1416" s="137"/>
      <c r="J1416" s="137"/>
      <c r="K1416" s="33"/>
      <c r="L1416" s="138"/>
      <c r="M1416" s="33"/>
      <c r="N1416" s="135"/>
      <c r="O1416" s="90"/>
      <c r="P1416" s="139"/>
      <c r="Q1416" s="38"/>
      <c r="R1416" s="38"/>
      <c r="S1416" s="38"/>
      <c r="T1416" s="38"/>
      <c r="U1416" s="38"/>
      <c r="V1416" s="38"/>
    </row>
    <row r="1417">
      <c r="A1417" s="134"/>
      <c r="B1417" s="33"/>
      <c r="C1417" s="33"/>
      <c r="D1417" s="135"/>
      <c r="E1417" s="33"/>
      <c r="F1417" s="136"/>
      <c r="G1417" s="33"/>
      <c r="H1417" s="135"/>
      <c r="I1417" s="137"/>
      <c r="J1417" s="137"/>
      <c r="K1417" s="33"/>
      <c r="L1417" s="138"/>
      <c r="M1417" s="33"/>
      <c r="N1417" s="135"/>
      <c r="O1417" s="90"/>
      <c r="P1417" s="139"/>
      <c r="Q1417" s="38"/>
      <c r="R1417" s="38"/>
      <c r="S1417" s="38"/>
      <c r="T1417" s="38"/>
      <c r="U1417" s="38"/>
      <c r="V1417" s="38"/>
    </row>
    <row r="1418">
      <c r="A1418" s="134"/>
      <c r="B1418" s="33"/>
      <c r="C1418" s="33"/>
      <c r="D1418" s="135"/>
      <c r="E1418" s="33"/>
      <c r="F1418" s="136"/>
      <c r="G1418" s="33"/>
      <c r="H1418" s="135"/>
      <c r="I1418" s="137"/>
      <c r="J1418" s="137"/>
      <c r="K1418" s="33"/>
      <c r="L1418" s="138"/>
      <c r="M1418" s="33"/>
      <c r="N1418" s="135"/>
      <c r="O1418" s="90"/>
      <c r="P1418" s="139"/>
      <c r="Q1418" s="38"/>
      <c r="R1418" s="38"/>
      <c r="S1418" s="38"/>
      <c r="T1418" s="38"/>
      <c r="U1418" s="38"/>
      <c r="V1418" s="38"/>
    </row>
    <row r="1419">
      <c r="A1419" s="134"/>
      <c r="B1419" s="33"/>
      <c r="C1419" s="33"/>
      <c r="D1419" s="135"/>
      <c r="E1419" s="33"/>
      <c r="F1419" s="136"/>
      <c r="G1419" s="33"/>
      <c r="H1419" s="135"/>
      <c r="I1419" s="137"/>
      <c r="J1419" s="137"/>
      <c r="K1419" s="33"/>
      <c r="L1419" s="138"/>
      <c r="M1419" s="33"/>
      <c r="N1419" s="135"/>
      <c r="O1419" s="90"/>
      <c r="P1419" s="139"/>
      <c r="Q1419" s="38"/>
      <c r="R1419" s="38"/>
      <c r="S1419" s="38"/>
      <c r="T1419" s="38"/>
      <c r="U1419" s="38"/>
      <c r="V1419" s="38"/>
    </row>
    <row r="1420">
      <c r="A1420" s="134"/>
      <c r="B1420" s="33"/>
      <c r="C1420" s="33"/>
      <c r="D1420" s="135"/>
      <c r="E1420" s="33"/>
      <c r="F1420" s="136"/>
      <c r="G1420" s="33"/>
      <c r="H1420" s="135"/>
      <c r="I1420" s="137"/>
      <c r="J1420" s="137"/>
      <c r="K1420" s="33"/>
      <c r="L1420" s="138"/>
      <c r="M1420" s="33"/>
      <c r="N1420" s="135"/>
      <c r="O1420" s="90"/>
      <c r="P1420" s="139"/>
      <c r="Q1420" s="38"/>
      <c r="R1420" s="38"/>
      <c r="S1420" s="38"/>
      <c r="T1420" s="38"/>
      <c r="U1420" s="38"/>
      <c r="V1420" s="38"/>
    </row>
    <row r="1421">
      <c r="A1421" s="134"/>
      <c r="B1421" s="33"/>
      <c r="C1421" s="33"/>
      <c r="D1421" s="135"/>
      <c r="E1421" s="33"/>
      <c r="F1421" s="136"/>
      <c r="G1421" s="33"/>
      <c r="H1421" s="135"/>
      <c r="I1421" s="137"/>
      <c r="J1421" s="137"/>
      <c r="K1421" s="33"/>
      <c r="L1421" s="138"/>
      <c r="M1421" s="33"/>
      <c r="N1421" s="135"/>
      <c r="O1421" s="90"/>
      <c r="P1421" s="139"/>
      <c r="Q1421" s="38"/>
      <c r="R1421" s="38"/>
      <c r="S1421" s="38"/>
      <c r="T1421" s="38"/>
      <c r="U1421" s="38"/>
      <c r="V1421" s="38"/>
    </row>
    <row r="1422">
      <c r="A1422" s="134"/>
      <c r="B1422" s="33"/>
      <c r="C1422" s="33"/>
      <c r="D1422" s="135"/>
      <c r="E1422" s="33"/>
      <c r="F1422" s="136"/>
      <c r="G1422" s="33"/>
      <c r="H1422" s="135"/>
      <c r="I1422" s="137"/>
      <c r="J1422" s="137"/>
      <c r="K1422" s="33"/>
      <c r="L1422" s="138"/>
      <c r="M1422" s="33"/>
      <c r="N1422" s="135"/>
      <c r="O1422" s="90"/>
      <c r="P1422" s="139"/>
      <c r="Q1422" s="38"/>
      <c r="R1422" s="38"/>
      <c r="S1422" s="38"/>
      <c r="T1422" s="38"/>
      <c r="U1422" s="38"/>
      <c r="V1422" s="38"/>
    </row>
    <row r="1423">
      <c r="A1423" s="134"/>
      <c r="B1423" s="33"/>
      <c r="C1423" s="33"/>
      <c r="D1423" s="135"/>
      <c r="E1423" s="33"/>
      <c r="F1423" s="136"/>
      <c r="G1423" s="33"/>
      <c r="H1423" s="135"/>
      <c r="I1423" s="137"/>
      <c r="J1423" s="137"/>
      <c r="K1423" s="33"/>
      <c r="L1423" s="138"/>
      <c r="M1423" s="33"/>
      <c r="N1423" s="135"/>
      <c r="O1423" s="90"/>
      <c r="P1423" s="139"/>
      <c r="Q1423" s="38"/>
      <c r="R1423" s="38"/>
      <c r="S1423" s="38"/>
      <c r="T1423" s="38"/>
      <c r="U1423" s="38"/>
      <c r="V1423" s="38"/>
    </row>
    <row r="1424">
      <c r="A1424" s="134"/>
      <c r="B1424" s="33"/>
      <c r="C1424" s="33"/>
      <c r="D1424" s="135"/>
      <c r="E1424" s="33"/>
      <c r="F1424" s="136"/>
      <c r="G1424" s="33"/>
      <c r="H1424" s="135"/>
      <c r="I1424" s="137"/>
      <c r="J1424" s="137"/>
      <c r="K1424" s="33"/>
      <c r="L1424" s="138"/>
      <c r="M1424" s="33"/>
      <c r="N1424" s="135"/>
      <c r="O1424" s="90"/>
      <c r="P1424" s="139"/>
      <c r="Q1424" s="38"/>
      <c r="R1424" s="38"/>
      <c r="S1424" s="38"/>
      <c r="T1424" s="38"/>
      <c r="U1424" s="38"/>
      <c r="V1424" s="38"/>
    </row>
    <row r="1425">
      <c r="A1425" s="134"/>
      <c r="B1425" s="33"/>
      <c r="C1425" s="33"/>
      <c r="D1425" s="135"/>
      <c r="E1425" s="33"/>
      <c r="F1425" s="136"/>
      <c r="G1425" s="33"/>
      <c r="H1425" s="135"/>
      <c r="I1425" s="137"/>
      <c r="J1425" s="137"/>
      <c r="K1425" s="33"/>
      <c r="L1425" s="138"/>
      <c r="M1425" s="33"/>
      <c r="N1425" s="135"/>
      <c r="O1425" s="90"/>
      <c r="P1425" s="139"/>
      <c r="Q1425" s="38"/>
      <c r="R1425" s="38"/>
      <c r="S1425" s="38"/>
      <c r="T1425" s="38"/>
      <c r="U1425" s="38"/>
      <c r="V1425" s="38"/>
    </row>
    <row r="1426">
      <c r="A1426" s="134"/>
      <c r="B1426" s="33"/>
      <c r="C1426" s="33"/>
      <c r="D1426" s="135"/>
      <c r="E1426" s="33"/>
      <c r="F1426" s="136"/>
      <c r="G1426" s="33"/>
      <c r="H1426" s="135"/>
      <c r="I1426" s="137"/>
      <c r="J1426" s="137"/>
      <c r="K1426" s="33"/>
      <c r="L1426" s="138"/>
      <c r="M1426" s="33"/>
      <c r="N1426" s="135"/>
      <c r="O1426" s="90"/>
      <c r="P1426" s="139"/>
      <c r="Q1426" s="38"/>
      <c r="R1426" s="38"/>
      <c r="S1426" s="38"/>
      <c r="T1426" s="38"/>
      <c r="U1426" s="38"/>
      <c r="V1426" s="38"/>
    </row>
    <row r="1427">
      <c r="A1427" s="134"/>
      <c r="B1427" s="33"/>
      <c r="C1427" s="33"/>
      <c r="D1427" s="135"/>
      <c r="E1427" s="33"/>
      <c r="F1427" s="136"/>
      <c r="G1427" s="33"/>
      <c r="H1427" s="135"/>
      <c r="I1427" s="137"/>
      <c r="J1427" s="137"/>
      <c r="K1427" s="33"/>
      <c r="L1427" s="138"/>
      <c r="M1427" s="33"/>
      <c r="N1427" s="135"/>
      <c r="O1427" s="90"/>
      <c r="P1427" s="139"/>
      <c r="Q1427" s="38"/>
      <c r="R1427" s="38"/>
      <c r="S1427" s="38"/>
      <c r="T1427" s="38"/>
      <c r="U1427" s="38"/>
      <c r="V1427" s="38"/>
    </row>
    <row r="1428">
      <c r="A1428" s="134"/>
      <c r="B1428" s="33"/>
      <c r="C1428" s="33"/>
      <c r="D1428" s="135"/>
      <c r="E1428" s="33"/>
      <c r="F1428" s="136"/>
      <c r="G1428" s="33"/>
      <c r="H1428" s="135"/>
      <c r="I1428" s="137"/>
      <c r="J1428" s="137"/>
      <c r="K1428" s="33"/>
      <c r="L1428" s="138"/>
      <c r="M1428" s="33"/>
      <c r="N1428" s="135"/>
      <c r="O1428" s="90"/>
      <c r="P1428" s="139"/>
      <c r="Q1428" s="38"/>
      <c r="R1428" s="38"/>
      <c r="S1428" s="38"/>
      <c r="T1428" s="38"/>
      <c r="U1428" s="38"/>
      <c r="V1428" s="38"/>
    </row>
    <row r="1429">
      <c r="A1429" s="134"/>
      <c r="B1429" s="33"/>
      <c r="C1429" s="33"/>
      <c r="D1429" s="135"/>
      <c r="E1429" s="33"/>
      <c r="F1429" s="136"/>
      <c r="G1429" s="33"/>
      <c r="H1429" s="135"/>
      <c r="I1429" s="137"/>
      <c r="J1429" s="137"/>
      <c r="K1429" s="33"/>
      <c r="L1429" s="138"/>
      <c r="M1429" s="33"/>
      <c r="N1429" s="135"/>
      <c r="O1429" s="90"/>
      <c r="P1429" s="139"/>
      <c r="Q1429" s="38"/>
      <c r="R1429" s="38"/>
      <c r="S1429" s="38"/>
      <c r="T1429" s="38"/>
      <c r="U1429" s="38"/>
      <c r="V1429" s="38"/>
    </row>
    <row r="1430">
      <c r="A1430" s="134"/>
      <c r="B1430" s="33"/>
      <c r="C1430" s="33"/>
      <c r="D1430" s="135"/>
      <c r="E1430" s="33"/>
      <c r="F1430" s="136"/>
      <c r="G1430" s="33"/>
      <c r="H1430" s="135"/>
      <c r="I1430" s="137"/>
      <c r="J1430" s="137"/>
      <c r="K1430" s="33"/>
      <c r="L1430" s="138"/>
      <c r="M1430" s="33"/>
      <c r="N1430" s="135"/>
      <c r="O1430" s="90"/>
      <c r="P1430" s="139"/>
      <c r="Q1430" s="38"/>
      <c r="R1430" s="38"/>
      <c r="S1430" s="38"/>
      <c r="T1430" s="38"/>
      <c r="U1430" s="38"/>
      <c r="V1430" s="38"/>
    </row>
    <row r="1431">
      <c r="A1431" s="134"/>
      <c r="B1431" s="33"/>
      <c r="C1431" s="33"/>
      <c r="D1431" s="135"/>
      <c r="E1431" s="33"/>
      <c r="F1431" s="136"/>
      <c r="G1431" s="33"/>
      <c r="H1431" s="135"/>
      <c r="I1431" s="137"/>
      <c r="J1431" s="137"/>
      <c r="K1431" s="33"/>
      <c r="L1431" s="138"/>
      <c r="M1431" s="33"/>
      <c r="N1431" s="135"/>
      <c r="O1431" s="90"/>
      <c r="P1431" s="139"/>
      <c r="Q1431" s="38"/>
      <c r="R1431" s="38"/>
      <c r="S1431" s="38"/>
      <c r="T1431" s="38"/>
      <c r="U1431" s="38"/>
      <c r="V1431" s="38"/>
    </row>
    <row r="1432">
      <c r="A1432" s="134"/>
      <c r="B1432" s="33"/>
      <c r="C1432" s="33"/>
      <c r="D1432" s="135"/>
      <c r="E1432" s="33"/>
      <c r="F1432" s="136"/>
      <c r="G1432" s="33"/>
      <c r="H1432" s="135"/>
      <c r="I1432" s="137"/>
      <c r="J1432" s="137"/>
      <c r="K1432" s="33"/>
      <c r="L1432" s="138"/>
      <c r="M1432" s="33"/>
      <c r="N1432" s="135"/>
      <c r="O1432" s="90"/>
      <c r="P1432" s="139"/>
      <c r="Q1432" s="38"/>
      <c r="R1432" s="38"/>
      <c r="S1432" s="38"/>
      <c r="T1432" s="38"/>
      <c r="U1432" s="38"/>
      <c r="V1432" s="38"/>
    </row>
    <row r="1433">
      <c r="A1433" s="134"/>
      <c r="B1433" s="33"/>
      <c r="C1433" s="33"/>
      <c r="D1433" s="135"/>
      <c r="E1433" s="33"/>
      <c r="F1433" s="136"/>
      <c r="G1433" s="33"/>
      <c r="H1433" s="135"/>
      <c r="I1433" s="137"/>
      <c r="J1433" s="137"/>
      <c r="K1433" s="33"/>
      <c r="L1433" s="138"/>
      <c r="M1433" s="33"/>
      <c r="N1433" s="135"/>
      <c r="O1433" s="90"/>
      <c r="P1433" s="139"/>
      <c r="Q1433" s="38"/>
      <c r="R1433" s="38"/>
      <c r="S1433" s="38"/>
      <c r="T1433" s="38"/>
      <c r="U1433" s="38"/>
      <c r="V1433" s="38"/>
    </row>
    <row r="1434">
      <c r="A1434" s="134"/>
      <c r="B1434" s="33"/>
      <c r="C1434" s="33"/>
      <c r="D1434" s="135"/>
      <c r="E1434" s="33"/>
      <c r="F1434" s="136"/>
      <c r="G1434" s="33"/>
      <c r="H1434" s="135"/>
      <c r="I1434" s="137"/>
      <c r="J1434" s="137"/>
      <c r="K1434" s="33"/>
      <c r="L1434" s="138"/>
      <c r="M1434" s="33"/>
      <c r="N1434" s="135"/>
      <c r="O1434" s="90"/>
      <c r="P1434" s="139"/>
      <c r="Q1434" s="38"/>
      <c r="R1434" s="38"/>
      <c r="S1434" s="38"/>
      <c r="T1434" s="38"/>
      <c r="U1434" s="38"/>
      <c r="V1434" s="38"/>
    </row>
    <row r="1435">
      <c r="A1435" s="134"/>
      <c r="B1435" s="33"/>
      <c r="C1435" s="33"/>
      <c r="D1435" s="135"/>
      <c r="E1435" s="33"/>
      <c r="F1435" s="136"/>
      <c r="G1435" s="33"/>
      <c r="H1435" s="135"/>
      <c r="I1435" s="137"/>
      <c r="J1435" s="137"/>
      <c r="K1435" s="33"/>
      <c r="L1435" s="138"/>
      <c r="M1435" s="33"/>
      <c r="N1435" s="135"/>
      <c r="O1435" s="90"/>
      <c r="P1435" s="139"/>
      <c r="Q1435" s="38"/>
      <c r="R1435" s="38"/>
      <c r="S1435" s="38"/>
      <c r="T1435" s="38"/>
      <c r="U1435" s="38"/>
      <c r="V1435" s="38"/>
    </row>
    <row r="1436">
      <c r="A1436" s="134"/>
      <c r="B1436" s="33"/>
      <c r="C1436" s="33"/>
      <c r="D1436" s="135"/>
      <c r="E1436" s="33"/>
      <c r="F1436" s="136"/>
      <c r="G1436" s="33"/>
      <c r="H1436" s="135"/>
      <c r="I1436" s="137"/>
      <c r="J1436" s="137"/>
      <c r="K1436" s="33"/>
      <c r="L1436" s="138"/>
      <c r="M1436" s="33"/>
      <c r="N1436" s="135"/>
      <c r="O1436" s="90"/>
      <c r="P1436" s="139"/>
      <c r="Q1436" s="38"/>
      <c r="R1436" s="38"/>
      <c r="S1436" s="38"/>
      <c r="T1436" s="38"/>
      <c r="U1436" s="38"/>
      <c r="V1436" s="38"/>
    </row>
    <row r="1437">
      <c r="A1437" s="134"/>
      <c r="B1437" s="33"/>
      <c r="C1437" s="33"/>
      <c r="D1437" s="135"/>
      <c r="E1437" s="33"/>
      <c r="F1437" s="136"/>
      <c r="G1437" s="33"/>
      <c r="H1437" s="135"/>
      <c r="I1437" s="137"/>
      <c r="J1437" s="137"/>
      <c r="K1437" s="33"/>
      <c r="L1437" s="138"/>
      <c r="M1437" s="33"/>
      <c r="N1437" s="135"/>
      <c r="O1437" s="90"/>
      <c r="P1437" s="139"/>
      <c r="Q1437" s="38"/>
      <c r="R1437" s="38"/>
      <c r="S1437" s="38"/>
      <c r="T1437" s="38"/>
      <c r="U1437" s="38"/>
      <c r="V1437" s="38"/>
    </row>
    <row r="1438">
      <c r="A1438" s="134"/>
      <c r="B1438" s="33"/>
      <c r="C1438" s="33"/>
      <c r="D1438" s="135"/>
      <c r="E1438" s="33"/>
      <c r="F1438" s="136"/>
      <c r="G1438" s="33"/>
      <c r="H1438" s="135"/>
      <c r="I1438" s="137"/>
      <c r="J1438" s="137"/>
      <c r="K1438" s="33"/>
      <c r="L1438" s="138"/>
      <c r="M1438" s="33"/>
      <c r="N1438" s="135"/>
      <c r="O1438" s="90"/>
      <c r="P1438" s="139"/>
      <c r="Q1438" s="38"/>
      <c r="R1438" s="38"/>
      <c r="S1438" s="38"/>
      <c r="T1438" s="38"/>
      <c r="U1438" s="38"/>
      <c r="V1438" s="38"/>
    </row>
    <row r="1439">
      <c r="A1439" s="134"/>
      <c r="B1439" s="33"/>
      <c r="C1439" s="33"/>
      <c r="D1439" s="135"/>
      <c r="E1439" s="33"/>
      <c r="F1439" s="136"/>
      <c r="G1439" s="33"/>
      <c r="H1439" s="135"/>
      <c r="I1439" s="137"/>
      <c r="J1439" s="137"/>
      <c r="K1439" s="33"/>
      <c r="L1439" s="138"/>
      <c r="M1439" s="33"/>
      <c r="N1439" s="135"/>
      <c r="O1439" s="90"/>
      <c r="P1439" s="139"/>
      <c r="Q1439" s="38"/>
      <c r="R1439" s="38"/>
      <c r="S1439" s="38"/>
      <c r="T1439" s="38"/>
      <c r="U1439" s="38"/>
      <c r="V1439" s="38"/>
    </row>
    <row r="1440">
      <c r="A1440" s="134"/>
      <c r="B1440" s="33"/>
      <c r="C1440" s="33"/>
      <c r="D1440" s="135"/>
      <c r="E1440" s="33"/>
      <c r="F1440" s="136"/>
      <c r="G1440" s="33"/>
      <c r="H1440" s="135"/>
      <c r="I1440" s="137"/>
      <c r="J1440" s="137"/>
      <c r="K1440" s="33"/>
      <c r="L1440" s="138"/>
      <c r="M1440" s="33"/>
      <c r="N1440" s="135"/>
      <c r="O1440" s="90"/>
      <c r="P1440" s="139"/>
      <c r="Q1440" s="38"/>
      <c r="R1440" s="38"/>
      <c r="S1440" s="38"/>
      <c r="T1440" s="38"/>
      <c r="U1440" s="38"/>
      <c r="V1440" s="38"/>
    </row>
    <row r="1441">
      <c r="A1441" s="134"/>
      <c r="B1441" s="33"/>
      <c r="C1441" s="33"/>
      <c r="D1441" s="135"/>
      <c r="E1441" s="33"/>
      <c r="F1441" s="136"/>
      <c r="G1441" s="33"/>
      <c r="H1441" s="135"/>
      <c r="I1441" s="137"/>
      <c r="J1441" s="137"/>
      <c r="K1441" s="33"/>
      <c r="L1441" s="138"/>
      <c r="M1441" s="33"/>
      <c r="N1441" s="135"/>
      <c r="O1441" s="90"/>
      <c r="P1441" s="139"/>
      <c r="Q1441" s="38"/>
      <c r="R1441" s="38"/>
      <c r="S1441" s="38"/>
      <c r="T1441" s="38"/>
      <c r="U1441" s="38"/>
      <c r="V1441" s="38"/>
    </row>
    <row r="1442">
      <c r="A1442" s="134"/>
      <c r="B1442" s="33"/>
      <c r="C1442" s="33"/>
      <c r="D1442" s="135"/>
      <c r="E1442" s="33"/>
      <c r="F1442" s="136"/>
      <c r="G1442" s="33"/>
      <c r="H1442" s="135"/>
      <c r="I1442" s="137"/>
      <c r="J1442" s="137"/>
      <c r="K1442" s="33"/>
      <c r="L1442" s="138"/>
      <c r="M1442" s="33"/>
      <c r="N1442" s="135"/>
      <c r="O1442" s="90"/>
      <c r="P1442" s="139"/>
      <c r="Q1442" s="38"/>
      <c r="R1442" s="38"/>
      <c r="S1442" s="38"/>
      <c r="T1442" s="38"/>
      <c r="U1442" s="38"/>
      <c r="V1442" s="38"/>
    </row>
    <row r="1443">
      <c r="A1443" s="134"/>
      <c r="B1443" s="33"/>
      <c r="C1443" s="33"/>
      <c r="D1443" s="135"/>
      <c r="E1443" s="33"/>
      <c r="F1443" s="136"/>
      <c r="G1443" s="33"/>
      <c r="H1443" s="135"/>
      <c r="I1443" s="137"/>
      <c r="J1443" s="137"/>
      <c r="K1443" s="33"/>
      <c r="L1443" s="138"/>
      <c r="M1443" s="33"/>
      <c r="N1443" s="135"/>
      <c r="O1443" s="90"/>
      <c r="P1443" s="139"/>
      <c r="Q1443" s="38"/>
      <c r="R1443" s="38"/>
      <c r="S1443" s="38"/>
      <c r="T1443" s="38"/>
      <c r="U1443" s="38"/>
      <c r="V1443" s="38"/>
    </row>
    <row r="1444">
      <c r="A1444" s="134"/>
      <c r="B1444" s="33"/>
      <c r="C1444" s="33"/>
      <c r="D1444" s="135"/>
      <c r="E1444" s="33"/>
      <c r="F1444" s="136"/>
      <c r="G1444" s="33"/>
      <c r="H1444" s="135"/>
      <c r="I1444" s="137"/>
      <c r="J1444" s="137"/>
      <c r="K1444" s="33"/>
      <c r="L1444" s="138"/>
      <c r="M1444" s="33"/>
      <c r="N1444" s="135"/>
      <c r="O1444" s="90"/>
      <c r="P1444" s="139"/>
      <c r="Q1444" s="38"/>
      <c r="R1444" s="38"/>
      <c r="S1444" s="38"/>
      <c r="T1444" s="38"/>
      <c r="U1444" s="38"/>
      <c r="V1444" s="38"/>
    </row>
    <row r="1445">
      <c r="A1445" s="134"/>
      <c r="B1445" s="33"/>
      <c r="C1445" s="33"/>
      <c r="D1445" s="135"/>
      <c r="E1445" s="33"/>
      <c r="F1445" s="136"/>
      <c r="G1445" s="33"/>
      <c r="H1445" s="135"/>
      <c r="I1445" s="137"/>
      <c r="J1445" s="137"/>
      <c r="K1445" s="33"/>
      <c r="L1445" s="138"/>
      <c r="M1445" s="33"/>
      <c r="N1445" s="135"/>
      <c r="O1445" s="90"/>
      <c r="P1445" s="139"/>
      <c r="Q1445" s="38"/>
      <c r="R1445" s="38"/>
      <c r="S1445" s="38"/>
      <c r="T1445" s="38"/>
      <c r="U1445" s="38"/>
      <c r="V1445" s="38"/>
    </row>
    <row r="1446">
      <c r="A1446" s="134"/>
      <c r="B1446" s="33"/>
      <c r="C1446" s="33"/>
      <c r="D1446" s="135"/>
      <c r="E1446" s="33"/>
      <c r="F1446" s="136"/>
      <c r="G1446" s="33"/>
      <c r="H1446" s="135"/>
      <c r="I1446" s="137"/>
      <c r="J1446" s="137"/>
      <c r="K1446" s="33"/>
      <c r="L1446" s="138"/>
      <c r="M1446" s="33"/>
      <c r="N1446" s="135"/>
      <c r="O1446" s="90"/>
      <c r="P1446" s="139"/>
      <c r="Q1446" s="38"/>
      <c r="R1446" s="38"/>
      <c r="S1446" s="38"/>
      <c r="T1446" s="38"/>
      <c r="U1446" s="38"/>
      <c r="V1446" s="38"/>
    </row>
    <row r="1447">
      <c r="A1447" s="134"/>
      <c r="B1447" s="33"/>
      <c r="C1447" s="33"/>
      <c r="D1447" s="135"/>
      <c r="E1447" s="33"/>
      <c r="F1447" s="136"/>
      <c r="G1447" s="33"/>
      <c r="H1447" s="135"/>
      <c r="I1447" s="137"/>
      <c r="J1447" s="137"/>
      <c r="K1447" s="33"/>
      <c r="L1447" s="138"/>
      <c r="M1447" s="33"/>
      <c r="N1447" s="135"/>
      <c r="O1447" s="90"/>
      <c r="P1447" s="139"/>
      <c r="Q1447" s="38"/>
      <c r="R1447" s="38"/>
      <c r="S1447" s="38"/>
      <c r="T1447" s="38"/>
      <c r="U1447" s="38"/>
      <c r="V1447" s="38"/>
    </row>
    <row r="1448">
      <c r="A1448" s="134"/>
      <c r="B1448" s="33"/>
      <c r="C1448" s="33"/>
      <c r="D1448" s="135"/>
      <c r="E1448" s="33"/>
      <c r="F1448" s="136"/>
      <c r="G1448" s="33"/>
      <c r="H1448" s="135"/>
      <c r="I1448" s="137"/>
      <c r="J1448" s="137"/>
      <c r="K1448" s="33"/>
      <c r="L1448" s="138"/>
      <c r="M1448" s="33"/>
      <c r="N1448" s="135"/>
      <c r="O1448" s="90"/>
      <c r="P1448" s="139"/>
      <c r="Q1448" s="38"/>
      <c r="R1448" s="38"/>
      <c r="S1448" s="38"/>
      <c r="T1448" s="38"/>
      <c r="U1448" s="38"/>
      <c r="V1448" s="38"/>
    </row>
    <row r="1449">
      <c r="A1449" s="134"/>
      <c r="B1449" s="33"/>
      <c r="C1449" s="33"/>
      <c r="D1449" s="135"/>
      <c r="E1449" s="33"/>
      <c r="F1449" s="136"/>
      <c r="G1449" s="33"/>
      <c r="H1449" s="135"/>
      <c r="I1449" s="137"/>
      <c r="J1449" s="137"/>
      <c r="K1449" s="33"/>
      <c r="L1449" s="138"/>
      <c r="M1449" s="33"/>
      <c r="N1449" s="135"/>
      <c r="O1449" s="90"/>
      <c r="P1449" s="139"/>
      <c r="Q1449" s="38"/>
      <c r="R1449" s="38"/>
      <c r="S1449" s="38"/>
      <c r="T1449" s="38"/>
      <c r="U1449" s="38"/>
      <c r="V1449" s="38"/>
    </row>
    <row r="1450">
      <c r="A1450" s="134"/>
      <c r="B1450" s="33"/>
      <c r="C1450" s="33"/>
      <c r="D1450" s="135"/>
      <c r="E1450" s="33"/>
      <c r="F1450" s="136"/>
      <c r="G1450" s="33"/>
      <c r="H1450" s="135"/>
      <c r="I1450" s="137"/>
      <c r="J1450" s="137"/>
      <c r="K1450" s="33"/>
      <c r="L1450" s="138"/>
      <c r="M1450" s="33"/>
      <c r="N1450" s="135"/>
      <c r="O1450" s="90"/>
      <c r="P1450" s="139"/>
      <c r="Q1450" s="38"/>
      <c r="R1450" s="38"/>
      <c r="S1450" s="38"/>
      <c r="T1450" s="38"/>
      <c r="U1450" s="38"/>
      <c r="V1450" s="38"/>
    </row>
    <row r="1451">
      <c r="A1451" s="134"/>
      <c r="B1451" s="33"/>
      <c r="C1451" s="33"/>
      <c r="D1451" s="135"/>
      <c r="E1451" s="33"/>
      <c r="F1451" s="136"/>
      <c r="G1451" s="33"/>
      <c r="H1451" s="135"/>
      <c r="I1451" s="137"/>
      <c r="J1451" s="137"/>
      <c r="K1451" s="33"/>
      <c r="L1451" s="138"/>
      <c r="M1451" s="33"/>
      <c r="N1451" s="135"/>
      <c r="O1451" s="90"/>
      <c r="P1451" s="139"/>
      <c r="Q1451" s="38"/>
      <c r="R1451" s="38"/>
      <c r="S1451" s="38"/>
      <c r="T1451" s="38"/>
      <c r="U1451" s="38"/>
      <c r="V1451" s="38"/>
    </row>
    <row r="1452">
      <c r="A1452" s="134"/>
      <c r="B1452" s="33"/>
      <c r="C1452" s="33"/>
      <c r="D1452" s="135"/>
      <c r="E1452" s="33"/>
      <c r="F1452" s="136"/>
      <c r="G1452" s="33"/>
      <c r="H1452" s="135"/>
      <c r="I1452" s="137"/>
      <c r="J1452" s="137"/>
      <c r="K1452" s="33"/>
      <c r="L1452" s="138"/>
      <c r="M1452" s="33"/>
      <c r="N1452" s="135"/>
      <c r="O1452" s="90"/>
      <c r="P1452" s="139"/>
      <c r="Q1452" s="38"/>
      <c r="R1452" s="38"/>
      <c r="S1452" s="38"/>
      <c r="T1452" s="38"/>
      <c r="U1452" s="38"/>
      <c r="V1452" s="38"/>
    </row>
    <row r="1453">
      <c r="A1453" s="134"/>
      <c r="B1453" s="33"/>
      <c r="C1453" s="33"/>
      <c r="D1453" s="135"/>
      <c r="E1453" s="33"/>
      <c r="F1453" s="136"/>
      <c r="G1453" s="33"/>
      <c r="H1453" s="135"/>
      <c r="I1453" s="137"/>
      <c r="J1453" s="137"/>
      <c r="K1453" s="33"/>
      <c r="L1453" s="138"/>
      <c r="M1453" s="33"/>
      <c r="N1453" s="135"/>
      <c r="O1453" s="90"/>
      <c r="P1453" s="139"/>
      <c r="Q1453" s="38"/>
      <c r="R1453" s="38"/>
      <c r="S1453" s="38"/>
      <c r="T1453" s="38"/>
      <c r="U1453" s="38"/>
      <c r="V1453" s="38"/>
    </row>
    <row r="1454">
      <c r="A1454" s="134"/>
      <c r="B1454" s="33"/>
      <c r="C1454" s="33"/>
      <c r="D1454" s="135"/>
      <c r="E1454" s="33"/>
      <c r="F1454" s="136"/>
      <c r="G1454" s="33"/>
      <c r="H1454" s="135"/>
      <c r="I1454" s="137"/>
      <c r="J1454" s="137"/>
      <c r="K1454" s="33"/>
      <c r="L1454" s="138"/>
      <c r="M1454" s="33"/>
      <c r="N1454" s="135"/>
      <c r="O1454" s="90"/>
      <c r="P1454" s="139"/>
      <c r="Q1454" s="38"/>
      <c r="R1454" s="38"/>
      <c r="S1454" s="38"/>
      <c r="T1454" s="38"/>
      <c r="U1454" s="38"/>
      <c r="V1454" s="38"/>
    </row>
    <row r="1455">
      <c r="A1455" s="134"/>
      <c r="B1455" s="33"/>
      <c r="C1455" s="33"/>
      <c r="D1455" s="135"/>
      <c r="E1455" s="33"/>
      <c r="F1455" s="136"/>
      <c r="G1455" s="33"/>
      <c r="H1455" s="135"/>
      <c r="I1455" s="137"/>
      <c r="J1455" s="137"/>
      <c r="K1455" s="33"/>
      <c r="L1455" s="138"/>
      <c r="M1455" s="33"/>
      <c r="N1455" s="135"/>
      <c r="O1455" s="90"/>
      <c r="P1455" s="139"/>
      <c r="Q1455" s="38"/>
      <c r="R1455" s="38"/>
      <c r="S1455" s="38"/>
      <c r="T1455" s="38"/>
      <c r="U1455" s="38"/>
      <c r="V1455" s="38"/>
    </row>
    <row r="1456">
      <c r="A1456" s="134"/>
      <c r="B1456" s="33"/>
      <c r="C1456" s="33"/>
      <c r="D1456" s="135"/>
      <c r="E1456" s="33"/>
      <c r="F1456" s="136"/>
      <c r="G1456" s="33"/>
      <c r="H1456" s="135"/>
      <c r="I1456" s="137"/>
      <c r="J1456" s="137"/>
      <c r="K1456" s="33"/>
      <c r="L1456" s="138"/>
      <c r="M1456" s="33"/>
      <c r="N1456" s="135"/>
      <c r="O1456" s="90"/>
      <c r="P1456" s="139"/>
      <c r="Q1456" s="38"/>
      <c r="R1456" s="38"/>
      <c r="S1456" s="38"/>
      <c r="T1456" s="38"/>
      <c r="U1456" s="38"/>
      <c r="V1456" s="38"/>
    </row>
    <row r="1457">
      <c r="A1457" s="134"/>
      <c r="B1457" s="33"/>
      <c r="C1457" s="33"/>
      <c r="D1457" s="135"/>
      <c r="E1457" s="33"/>
      <c r="F1457" s="136"/>
      <c r="G1457" s="33"/>
      <c r="H1457" s="135"/>
      <c r="I1457" s="137"/>
      <c r="J1457" s="137"/>
      <c r="K1457" s="33"/>
      <c r="L1457" s="138"/>
      <c r="M1457" s="33"/>
      <c r="N1457" s="135"/>
      <c r="O1457" s="90"/>
      <c r="P1457" s="139"/>
      <c r="Q1457" s="38"/>
      <c r="R1457" s="38"/>
      <c r="S1457" s="38"/>
      <c r="T1457" s="38"/>
      <c r="U1457" s="38"/>
      <c r="V1457" s="38"/>
    </row>
    <row r="1458">
      <c r="A1458" s="134"/>
      <c r="B1458" s="33"/>
      <c r="C1458" s="33"/>
      <c r="D1458" s="135"/>
      <c r="E1458" s="33"/>
      <c r="F1458" s="136"/>
      <c r="G1458" s="33"/>
      <c r="H1458" s="135"/>
      <c r="I1458" s="137"/>
      <c r="J1458" s="137"/>
      <c r="K1458" s="33"/>
      <c r="L1458" s="138"/>
      <c r="M1458" s="33"/>
      <c r="N1458" s="135"/>
      <c r="O1458" s="90"/>
      <c r="P1458" s="139"/>
      <c r="Q1458" s="38"/>
      <c r="R1458" s="38"/>
      <c r="S1458" s="38"/>
      <c r="T1458" s="38"/>
      <c r="U1458" s="38"/>
      <c r="V1458" s="38"/>
    </row>
    <row r="1459">
      <c r="A1459" s="134"/>
      <c r="B1459" s="33"/>
      <c r="C1459" s="33"/>
      <c r="D1459" s="135"/>
      <c r="E1459" s="33"/>
      <c r="F1459" s="136"/>
      <c r="G1459" s="33"/>
      <c r="H1459" s="135"/>
      <c r="I1459" s="137"/>
      <c r="J1459" s="137"/>
      <c r="K1459" s="33"/>
      <c r="L1459" s="138"/>
      <c r="M1459" s="33"/>
      <c r="N1459" s="135"/>
      <c r="O1459" s="90"/>
      <c r="P1459" s="139"/>
      <c r="Q1459" s="38"/>
      <c r="R1459" s="38"/>
      <c r="S1459" s="38"/>
      <c r="T1459" s="38"/>
      <c r="U1459" s="38"/>
      <c r="V1459" s="38"/>
    </row>
    <row r="1460">
      <c r="A1460" s="134"/>
      <c r="B1460" s="33"/>
      <c r="C1460" s="33"/>
      <c r="D1460" s="135"/>
      <c r="E1460" s="33"/>
      <c r="F1460" s="136"/>
      <c r="G1460" s="33"/>
      <c r="H1460" s="135"/>
      <c r="I1460" s="137"/>
      <c r="J1460" s="137"/>
      <c r="K1460" s="33"/>
      <c r="L1460" s="138"/>
      <c r="M1460" s="33"/>
      <c r="N1460" s="135"/>
      <c r="O1460" s="90"/>
      <c r="P1460" s="139"/>
      <c r="Q1460" s="38"/>
      <c r="R1460" s="38"/>
      <c r="S1460" s="38"/>
      <c r="T1460" s="38"/>
      <c r="U1460" s="38"/>
      <c r="V1460" s="38"/>
    </row>
    <row r="1461">
      <c r="A1461" s="134"/>
      <c r="B1461" s="33"/>
      <c r="C1461" s="33"/>
      <c r="D1461" s="135"/>
      <c r="E1461" s="33"/>
      <c r="F1461" s="136"/>
      <c r="G1461" s="33"/>
      <c r="H1461" s="135"/>
      <c r="I1461" s="137"/>
      <c r="J1461" s="137"/>
      <c r="K1461" s="33"/>
      <c r="L1461" s="138"/>
      <c r="M1461" s="33"/>
      <c r="N1461" s="135"/>
      <c r="O1461" s="90"/>
      <c r="P1461" s="139"/>
      <c r="Q1461" s="38"/>
      <c r="R1461" s="38"/>
      <c r="S1461" s="38"/>
      <c r="T1461" s="38"/>
      <c r="U1461" s="38"/>
      <c r="V1461" s="38"/>
    </row>
    <row r="1462">
      <c r="A1462" s="134"/>
      <c r="B1462" s="33"/>
      <c r="C1462" s="33"/>
      <c r="D1462" s="135"/>
      <c r="E1462" s="33"/>
      <c r="F1462" s="136"/>
      <c r="G1462" s="33"/>
      <c r="H1462" s="135"/>
      <c r="I1462" s="137"/>
      <c r="J1462" s="137"/>
      <c r="K1462" s="33"/>
      <c r="L1462" s="138"/>
      <c r="M1462" s="33"/>
      <c r="N1462" s="135"/>
      <c r="O1462" s="90"/>
      <c r="P1462" s="139"/>
      <c r="Q1462" s="38"/>
      <c r="R1462" s="38"/>
      <c r="S1462" s="38"/>
      <c r="T1462" s="38"/>
      <c r="U1462" s="38"/>
      <c r="V1462" s="38"/>
    </row>
    <row r="1463">
      <c r="A1463" s="134"/>
      <c r="B1463" s="33"/>
      <c r="C1463" s="33"/>
      <c r="D1463" s="135"/>
      <c r="E1463" s="33"/>
      <c r="F1463" s="136"/>
      <c r="G1463" s="33"/>
      <c r="H1463" s="135"/>
      <c r="I1463" s="137"/>
      <c r="J1463" s="137"/>
      <c r="K1463" s="33"/>
      <c r="L1463" s="138"/>
      <c r="M1463" s="33"/>
      <c r="N1463" s="135"/>
      <c r="O1463" s="90"/>
      <c r="P1463" s="139"/>
      <c r="Q1463" s="38"/>
      <c r="R1463" s="38"/>
      <c r="S1463" s="38"/>
      <c r="T1463" s="38"/>
      <c r="U1463" s="38"/>
      <c r="V1463" s="38"/>
    </row>
    <row r="1464">
      <c r="A1464" s="134"/>
      <c r="B1464" s="33"/>
      <c r="C1464" s="33"/>
      <c r="D1464" s="135"/>
      <c r="E1464" s="33"/>
      <c r="F1464" s="136"/>
      <c r="G1464" s="33"/>
      <c r="H1464" s="135"/>
      <c r="I1464" s="137"/>
      <c r="J1464" s="137"/>
      <c r="K1464" s="33"/>
      <c r="L1464" s="138"/>
      <c r="M1464" s="33"/>
      <c r="N1464" s="135"/>
      <c r="O1464" s="90"/>
      <c r="P1464" s="139"/>
      <c r="Q1464" s="38"/>
      <c r="R1464" s="38"/>
      <c r="S1464" s="38"/>
      <c r="T1464" s="38"/>
      <c r="U1464" s="38"/>
      <c r="V1464" s="38"/>
    </row>
    <row r="1465">
      <c r="A1465" s="134"/>
      <c r="B1465" s="33"/>
      <c r="C1465" s="33"/>
      <c r="D1465" s="135"/>
      <c r="E1465" s="33"/>
      <c r="F1465" s="136"/>
      <c r="G1465" s="33"/>
      <c r="H1465" s="135"/>
      <c r="I1465" s="137"/>
      <c r="J1465" s="137"/>
      <c r="K1465" s="33"/>
      <c r="L1465" s="138"/>
      <c r="M1465" s="33"/>
      <c r="N1465" s="135"/>
      <c r="O1465" s="90"/>
      <c r="P1465" s="139"/>
      <c r="Q1465" s="38"/>
      <c r="R1465" s="38"/>
      <c r="S1465" s="38"/>
      <c r="T1465" s="38"/>
      <c r="U1465" s="38"/>
      <c r="V1465" s="38"/>
    </row>
    <row r="1466">
      <c r="A1466" s="134"/>
      <c r="B1466" s="33"/>
      <c r="C1466" s="33"/>
      <c r="D1466" s="135"/>
      <c r="E1466" s="33"/>
      <c r="F1466" s="136"/>
      <c r="G1466" s="33"/>
      <c r="H1466" s="135"/>
      <c r="I1466" s="137"/>
      <c r="J1466" s="137"/>
      <c r="K1466" s="33"/>
      <c r="L1466" s="138"/>
      <c r="M1466" s="33"/>
      <c r="N1466" s="135"/>
      <c r="O1466" s="90"/>
      <c r="P1466" s="139"/>
      <c r="Q1466" s="38"/>
      <c r="R1466" s="38"/>
      <c r="S1466" s="38"/>
      <c r="T1466" s="38"/>
      <c r="U1466" s="38"/>
      <c r="V1466" s="38"/>
    </row>
    <row r="1467">
      <c r="A1467" s="134"/>
      <c r="B1467" s="33"/>
      <c r="C1467" s="33"/>
      <c r="D1467" s="135"/>
      <c r="E1467" s="33"/>
      <c r="F1467" s="136"/>
      <c r="G1467" s="33"/>
      <c r="H1467" s="135"/>
      <c r="I1467" s="137"/>
      <c r="J1467" s="137"/>
      <c r="K1467" s="33"/>
      <c r="L1467" s="138"/>
      <c r="M1467" s="33"/>
      <c r="N1467" s="135"/>
      <c r="O1467" s="90"/>
      <c r="P1467" s="139"/>
      <c r="Q1467" s="38"/>
      <c r="R1467" s="38"/>
      <c r="S1467" s="38"/>
      <c r="T1467" s="38"/>
      <c r="U1467" s="38"/>
      <c r="V1467" s="38"/>
    </row>
    <row r="1468">
      <c r="A1468" s="134"/>
      <c r="B1468" s="33"/>
      <c r="C1468" s="33"/>
      <c r="D1468" s="135"/>
      <c r="E1468" s="33"/>
      <c r="F1468" s="136"/>
      <c r="G1468" s="33"/>
      <c r="H1468" s="135"/>
      <c r="I1468" s="137"/>
      <c r="J1468" s="137"/>
      <c r="K1468" s="33"/>
      <c r="L1468" s="138"/>
      <c r="M1468" s="33"/>
      <c r="N1468" s="135"/>
      <c r="O1468" s="90"/>
      <c r="P1468" s="139"/>
      <c r="Q1468" s="38"/>
      <c r="R1468" s="38"/>
      <c r="S1468" s="38"/>
      <c r="T1468" s="38"/>
      <c r="U1468" s="38"/>
      <c r="V1468" s="38"/>
    </row>
    <row r="1469">
      <c r="A1469" s="134"/>
      <c r="B1469" s="33"/>
      <c r="C1469" s="33"/>
      <c r="D1469" s="135"/>
      <c r="E1469" s="33"/>
      <c r="F1469" s="136"/>
      <c r="G1469" s="33"/>
      <c r="H1469" s="135"/>
      <c r="I1469" s="137"/>
      <c r="J1469" s="137"/>
      <c r="K1469" s="33"/>
      <c r="L1469" s="138"/>
      <c r="M1469" s="33"/>
      <c r="N1469" s="135"/>
      <c r="O1469" s="90"/>
      <c r="P1469" s="139"/>
      <c r="Q1469" s="38"/>
      <c r="R1469" s="38"/>
      <c r="S1469" s="38"/>
      <c r="T1469" s="38"/>
      <c r="U1469" s="38"/>
      <c r="V1469" s="38"/>
    </row>
    <row r="1470">
      <c r="A1470" s="134"/>
      <c r="B1470" s="33"/>
      <c r="C1470" s="33"/>
      <c r="D1470" s="135"/>
      <c r="E1470" s="33"/>
      <c r="F1470" s="136"/>
      <c r="G1470" s="33"/>
      <c r="H1470" s="135"/>
      <c r="I1470" s="137"/>
      <c r="J1470" s="137"/>
      <c r="K1470" s="33"/>
      <c r="L1470" s="138"/>
      <c r="M1470" s="33"/>
      <c r="N1470" s="135"/>
      <c r="O1470" s="90"/>
      <c r="P1470" s="139"/>
      <c r="Q1470" s="38"/>
      <c r="R1470" s="38"/>
      <c r="S1470" s="38"/>
      <c r="T1470" s="38"/>
      <c r="U1470" s="38"/>
      <c r="V1470" s="38"/>
    </row>
    <row r="1471">
      <c r="A1471" s="134"/>
      <c r="B1471" s="33"/>
      <c r="C1471" s="33"/>
      <c r="D1471" s="135"/>
      <c r="E1471" s="33"/>
      <c r="F1471" s="136"/>
      <c r="G1471" s="33"/>
      <c r="H1471" s="135"/>
      <c r="I1471" s="137"/>
      <c r="J1471" s="137"/>
      <c r="K1471" s="33"/>
      <c r="L1471" s="138"/>
      <c r="M1471" s="33"/>
      <c r="N1471" s="135"/>
      <c r="O1471" s="90"/>
      <c r="P1471" s="139"/>
      <c r="Q1471" s="38"/>
      <c r="R1471" s="38"/>
      <c r="S1471" s="38"/>
      <c r="T1471" s="38"/>
      <c r="U1471" s="38"/>
      <c r="V1471" s="38"/>
    </row>
    <row r="1472">
      <c r="A1472" s="134"/>
      <c r="B1472" s="33"/>
      <c r="C1472" s="33"/>
      <c r="D1472" s="135"/>
      <c r="E1472" s="33"/>
      <c r="F1472" s="136"/>
      <c r="G1472" s="33"/>
      <c r="H1472" s="135"/>
      <c r="I1472" s="137"/>
      <c r="J1472" s="137"/>
      <c r="K1472" s="33"/>
      <c r="L1472" s="138"/>
      <c r="M1472" s="33"/>
      <c r="N1472" s="135"/>
      <c r="O1472" s="90"/>
      <c r="P1472" s="139"/>
      <c r="Q1472" s="38"/>
      <c r="R1472" s="38"/>
      <c r="S1472" s="38"/>
      <c r="T1472" s="38"/>
      <c r="U1472" s="38"/>
      <c r="V1472" s="38"/>
    </row>
    <row r="1473">
      <c r="A1473" s="134"/>
      <c r="B1473" s="33"/>
      <c r="C1473" s="33"/>
      <c r="D1473" s="135"/>
      <c r="E1473" s="33"/>
      <c r="F1473" s="136"/>
      <c r="G1473" s="33"/>
      <c r="H1473" s="135"/>
      <c r="I1473" s="137"/>
      <c r="J1473" s="137"/>
      <c r="K1473" s="33"/>
      <c r="L1473" s="138"/>
      <c r="M1473" s="33"/>
      <c r="N1473" s="135"/>
      <c r="O1473" s="90"/>
      <c r="P1473" s="139"/>
      <c r="Q1473" s="38"/>
      <c r="R1473" s="38"/>
      <c r="S1473" s="38"/>
      <c r="T1473" s="38"/>
      <c r="U1473" s="38"/>
      <c r="V1473" s="38"/>
    </row>
    <row r="1474">
      <c r="A1474" s="134"/>
      <c r="B1474" s="33"/>
      <c r="C1474" s="33"/>
      <c r="D1474" s="135"/>
      <c r="E1474" s="33"/>
      <c r="F1474" s="136"/>
      <c r="G1474" s="33"/>
      <c r="H1474" s="135"/>
      <c r="I1474" s="137"/>
      <c r="J1474" s="137"/>
      <c r="K1474" s="33"/>
      <c r="L1474" s="138"/>
      <c r="M1474" s="33"/>
      <c r="N1474" s="135"/>
      <c r="O1474" s="90"/>
      <c r="P1474" s="139"/>
      <c r="Q1474" s="38"/>
      <c r="R1474" s="38"/>
      <c r="S1474" s="38"/>
      <c r="T1474" s="38"/>
      <c r="U1474" s="38"/>
      <c r="V1474" s="38"/>
    </row>
    <row r="1475">
      <c r="A1475" s="134"/>
      <c r="B1475" s="33"/>
      <c r="C1475" s="33"/>
      <c r="D1475" s="135"/>
      <c r="E1475" s="33"/>
      <c r="F1475" s="136"/>
      <c r="G1475" s="33"/>
      <c r="H1475" s="135"/>
      <c r="I1475" s="137"/>
      <c r="J1475" s="137"/>
      <c r="K1475" s="33"/>
      <c r="L1475" s="138"/>
      <c r="M1475" s="33"/>
      <c r="N1475" s="135"/>
      <c r="O1475" s="90"/>
      <c r="P1475" s="139"/>
      <c r="Q1475" s="38"/>
      <c r="R1475" s="38"/>
      <c r="S1475" s="38"/>
      <c r="T1475" s="38"/>
      <c r="U1475" s="38"/>
      <c r="V1475" s="38"/>
    </row>
    <row r="1476">
      <c r="A1476" s="134"/>
      <c r="B1476" s="33"/>
      <c r="C1476" s="33"/>
      <c r="D1476" s="135"/>
      <c r="E1476" s="33"/>
      <c r="F1476" s="136"/>
      <c r="G1476" s="33"/>
      <c r="H1476" s="135"/>
      <c r="I1476" s="137"/>
      <c r="J1476" s="137"/>
      <c r="K1476" s="33"/>
      <c r="L1476" s="138"/>
      <c r="M1476" s="33"/>
      <c r="N1476" s="135"/>
      <c r="O1476" s="90"/>
      <c r="P1476" s="139"/>
      <c r="Q1476" s="38"/>
      <c r="R1476" s="38"/>
      <c r="S1476" s="38"/>
      <c r="T1476" s="38"/>
      <c r="U1476" s="38"/>
      <c r="V1476" s="38"/>
    </row>
    <row r="1477">
      <c r="A1477" s="134"/>
      <c r="B1477" s="33"/>
      <c r="C1477" s="33"/>
      <c r="D1477" s="135"/>
      <c r="E1477" s="33"/>
      <c r="F1477" s="136"/>
      <c r="G1477" s="33"/>
      <c r="H1477" s="135"/>
      <c r="I1477" s="137"/>
      <c r="J1477" s="137"/>
      <c r="K1477" s="33"/>
      <c r="L1477" s="138"/>
      <c r="M1477" s="33"/>
      <c r="N1477" s="135"/>
      <c r="O1477" s="90"/>
      <c r="P1477" s="139"/>
      <c r="Q1477" s="38"/>
      <c r="R1477" s="38"/>
      <c r="S1477" s="38"/>
      <c r="T1477" s="38"/>
      <c r="U1477" s="38"/>
      <c r="V1477" s="38"/>
    </row>
    <row r="1478">
      <c r="A1478" s="134"/>
      <c r="B1478" s="33"/>
      <c r="C1478" s="33"/>
      <c r="D1478" s="135"/>
      <c r="E1478" s="33"/>
      <c r="F1478" s="136"/>
      <c r="G1478" s="33"/>
      <c r="H1478" s="135"/>
      <c r="I1478" s="137"/>
      <c r="J1478" s="137"/>
      <c r="K1478" s="33"/>
      <c r="L1478" s="138"/>
      <c r="M1478" s="33"/>
      <c r="N1478" s="135"/>
      <c r="O1478" s="90"/>
      <c r="P1478" s="139"/>
      <c r="Q1478" s="38"/>
      <c r="R1478" s="38"/>
      <c r="S1478" s="38"/>
      <c r="T1478" s="38"/>
      <c r="U1478" s="38"/>
      <c r="V1478" s="38"/>
    </row>
    <row r="1479">
      <c r="A1479" s="134"/>
      <c r="B1479" s="33"/>
      <c r="C1479" s="33"/>
      <c r="D1479" s="135"/>
      <c r="E1479" s="33"/>
      <c r="F1479" s="136"/>
      <c r="G1479" s="33"/>
      <c r="H1479" s="135"/>
      <c r="I1479" s="137"/>
      <c r="J1479" s="137"/>
      <c r="K1479" s="33"/>
      <c r="L1479" s="138"/>
      <c r="M1479" s="33"/>
      <c r="N1479" s="135"/>
      <c r="O1479" s="90"/>
      <c r="P1479" s="139"/>
      <c r="Q1479" s="38"/>
      <c r="R1479" s="38"/>
      <c r="S1479" s="38"/>
      <c r="T1479" s="38"/>
      <c r="U1479" s="38"/>
      <c r="V1479" s="38"/>
    </row>
    <row r="1480">
      <c r="A1480" s="134"/>
      <c r="B1480" s="33"/>
      <c r="C1480" s="33"/>
      <c r="D1480" s="135"/>
      <c r="E1480" s="33"/>
      <c r="F1480" s="136"/>
      <c r="G1480" s="33"/>
      <c r="H1480" s="135"/>
      <c r="I1480" s="137"/>
      <c r="J1480" s="137"/>
      <c r="K1480" s="33"/>
      <c r="L1480" s="138"/>
      <c r="M1480" s="33"/>
      <c r="N1480" s="135"/>
      <c r="O1480" s="90"/>
      <c r="P1480" s="139"/>
      <c r="Q1480" s="38"/>
      <c r="R1480" s="38"/>
      <c r="S1480" s="38"/>
      <c r="T1480" s="38"/>
      <c r="U1480" s="38"/>
      <c r="V1480" s="38"/>
    </row>
    <row r="1481">
      <c r="A1481" s="134"/>
      <c r="B1481" s="33"/>
      <c r="C1481" s="33"/>
      <c r="D1481" s="135"/>
      <c r="E1481" s="33"/>
      <c r="F1481" s="136"/>
      <c r="G1481" s="33"/>
      <c r="H1481" s="135"/>
      <c r="I1481" s="137"/>
      <c r="J1481" s="137"/>
      <c r="K1481" s="33"/>
      <c r="L1481" s="138"/>
      <c r="M1481" s="33"/>
      <c r="N1481" s="135"/>
      <c r="O1481" s="90"/>
      <c r="P1481" s="139"/>
      <c r="Q1481" s="38"/>
      <c r="R1481" s="38"/>
      <c r="S1481" s="38"/>
      <c r="T1481" s="38"/>
      <c r="U1481" s="38"/>
      <c r="V1481" s="38"/>
    </row>
    <row r="1482">
      <c r="A1482" s="134"/>
      <c r="B1482" s="33"/>
      <c r="C1482" s="33"/>
      <c r="D1482" s="135"/>
      <c r="E1482" s="33"/>
      <c r="F1482" s="136"/>
      <c r="G1482" s="33"/>
      <c r="H1482" s="135"/>
      <c r="I1482" s="137"/>
      <c r="J1482" s="137"/>
      <c r="K1482" s="33"/>
      <c r="L1482" s="138"/>
      <c r="M1482" s="33"/>
      <c r="N1482" s="135"/>
      <c r="O1482" s="90"/>
      <c r="P1482" s="139"/>
      <c r="Q1482" s="38"/>
      <c r="R1482" s="38"/>
      <c r="S1482" s="38"/>
      <c r="T1482" s="38"/>
      <c r="U1482" s="38"/>
      <c r="V1482" s="38"/>
    </row>
    <row r="1483">
      <c r="A1483" s="134"/>
      <c r="B1483" s="33"/>
      <c r="C1483" s="33"/>
      <c r="D1483" s="135"/>
      <c r="E1483" s="33"/>
      <c r="F1483" s="136"/>
      <c r="G1483" s="33"/>
      <c r="H1483" s="135"/>
      <c r="I1483" s="137"/>
      <c r="J1483" s="137"/>
      <c r="K1483" s="33"/>
      <c r="L1483" s="138"/>
      <c r="M1483" s="33"/>
      <c r="N1483" s="135"/>
      <c r="O1483" s="90"/>
      <c r="P1483" s="139"/>
      <c r="Q1483" s="38"/>
      <c r="R1483" s="38"/>
      <c r="S1483" s="38"/>
      <c r="T1483" s="38"/>
      <c r="U1483" s="38"/>
      <c r="V1483" s="38"/>
    </row>
    <row r="1484">
      <c r="A1484" s="134"/>
      <c r="B1484" s="33"/>
      <c r="C1484" s="33"/>
      <c r="D1484" s="135"/>
      <c r="E1484" s="33"/>
      <c r="F1484" s="136"/>
      <c r="G1484" s="33"/>
      <c r="H1484" s="135"/>
      <c r="I1484" s="137"/>
      <c r="J1484" s="137"/>
      <c r="K1484" s="33"/>
      <c r="L1484" s="138"/>
      <c r="M1484" s="33"/>
      <c r="N1484" s="135"/>
      <c r="O1484" s="90"/>
      <c r="P1484" s="139"/>
      <c r="Q1484" s="38"/>
      <c r="R1484" s="38"/>
      <c r="S1484" s="38"/>
      <c r="T1484" s="38"/>
      <c r="U1484" s="38"/>
      <c r="V1484" s="38"/>
    </row>
    <row r="1485">
      <c r="A1485" s="134"/>
      <c r="B1485" s="33"/>
      <c r="C1485" s="33"/>
      <c r="D1485" s="135"/>
      <c r="E1485" s="33"/>
      <c r="F1485" s="136"/>
      <c r="G1485" s="33"/>
      <c r="H1485" s="135"/>
      <c r="I1485" s="137"/>
      <c r="J1485" s="137"/>
      <c r="K1485" s="33"/>
      <c r="L1485" s="138"/>
      <c r="M1485" s="33"/>
      <c r="N1485" s="135"/>
      <c r="O1485" s="90"/>
      <c r="P1485" s="139"/>
      <c r="Q1485" s="38"/>
      <c r="R1485" s="38"/>
      <c r="S1485" s="38"/>
      <c r="T1485" s="38"/>
      <c r="U1485" s="38"/>
      <c r="V1485" s="38"/>
    </row>
    <row r="1486">
      <c r="A1486" s="134"/>
      <c r="B1486" s="33"/>
      <c r="C1486" s="33"/>
      <c r="D1486" s="135"/>
      <c r="E1486" s="33"/>
      <c r="F1486" s="136"/>
      <c r="G1486" s="33"/>
      <c r="H1486" s="135"/>
      <c r="I1486" s="137"/>
      <c r="J1486" s="137"/>
      <c r="K1486" s="33"/>
      <c r="L1486" s="138"/>
      <c r="M1486" s="33"/>
      <c r="N1486" s="135"/>
      <c r="O1486" s="90"/>
      <c r="P1486" s="139"/>
      <c r="Q1486" s="38"/>
      <c r="R1486" s="38"/>
      <c r="S1486" s="38"/>
      <c r="T1486" s="38"/>
      <c r="U1486" s="38"/>
      <c r="V1486" s="38"/>
    </row>
    <row r="1487">
      <c r="A1487" s="134"/>
      <c r="B1487" s="33"/>
      <c r="C1487" s="33"/>
      <c r="D1487" s="135"/>
      <c r="E1487" s="33"/>
      <c r="F1487" s="136"/>
      <c r="G1487" s="33"/>
      <c r="H1487" s="135"/>
      <c r="I1487" s="137"/>
      <c r="J1487" s="137"/>
      <c r="K1487" s="33"/>
      <c r="L1487" s="138"/>
      <c r="M1487" s="33"/>
      <c r="N1487" s="135"/>
      <c r="O1487" s="90"/>
      <c r="P1487" s="139"/>
      <c r="Q1487" s="38"/>
      <c r="R1487" s="38"/>
      <c r="S1487" s="38"/>
      <c r="T1487" s="38"/>
      <c r="U1487" s="38"/>
      <c r="V1487" s="38"/>
    </row>
    <row r="1488">
      <c r="A1488" s="134"/>
      <c r="B1488" s="33"/>
      <c r="C1488" s="33"/>
      <c r="D1488" s="135"/>
      <c r="E1488" s="33"/>
      <c r="F1488" s="136"/>
      <c r="G1488" s="33"/>
      <c r="H1488" s="135"/>
      <c r="I1488" s="137"/>
      <c r="J1488" s="137"/>
      <c r="K1488" s="33"/>
      <c r="L1488" s="138"/>
      <c r="M1488" s="33"/>
      <c r="N1488" s="135"/>
      <c r="O1488" s="90"/>
      <c r="P1488" s="139"/>
      <c r="Q1488" s="38"/>
      <c r="R1488" s="38"/>
      <c r="S1488" s="38"/>
      <c r="T1488" s="38"/>
      <c r="U1488" s="38"/>
      <c r="V1488" s="38"/>
    </row>
    <row r="1489">
      <c r="A1489" s="134"/>
      <c r="B1489" s="33"/>
      <c r="C1489" s="33"/>
      <c r="D1489" s="135"/>
      <c r="E1489" s="33"/>
      <c r="F1489" s="136"/>
      <c r="G1489" s="33"/>
      <c r="H1489" s="135"/>
      <c r="I1489" s="137"/>
      <c r="J1489" s="137"/>
      <c r="K1489" s="33"/>
      <c r="L1489" s="138"/>
      <c r="M1489" s="33"/>
      <c r="N1489" s="135"/>
      <c r="O1489" s="90"/>
      <c r="P1489" s="139"/>
      <c r="Q1489" s="38"/>
      <c r="R1489" s="38"/>
      <c r="S1489" s="38"/>
      <c r="T1489" s="38"/>
      <c r="U1489" s="38"/>
      <c r="V1489" s="38"/>
    </row>
    <row r="1490">
      <c r="A1490" s="134"/>
      <c r="B1490" s="33"/>
      <c r="C1490" s="33"/>
      <c r="D1490" s="135"/>
      <c r="E1490" s="33"/>
      <c r="F1490" s="136"/>
      <c r="G1490" s="33"/>
      <c r="H1490" s="135"/>
      <c r="I1490" s="137"/>
      <c r="J1490" s="137"/>
      <c r="K1490" s="33"/>
      <c r="L1490" s="138"/>
      <c r="M1490" s="33"/>
      <c r="N1490" s="135"/>
      <c r="O1490" s="90"/>
      <c r="P1490" s="139"/>
      <c r="Q1490" s="38"/>
      <c r="R1490" s="38"/>
      <c r="S1490" s="38"/>
      <c r="T1490" s="38"/>
      <c r="U1490" s="38"/>
      <c r="V1490" s="38"/>
    </row>
    <row r="1491">
      <c r="A1491" s="134"/>
      <c r="B1491" s="33"/>
      <c r="C1491" s="33"/>
      <c r="D1491" s="135"/>
      <c r="E1491" s="33"/>
      <c r="F1491" s="136"/>
      <c r="G1491" s="33"/>
      <c r="H1491" s="135"/>
      <c r="I1491" s="137"/>
      <c r="J1491" s="137"/>
      <c r="K1491" s="33"/>
      <c r="L1491" s="138"/>
      <c r="M1491" s="33"/>
      <c r="N1491" s="135"/>
      <c r="O1491" s="90"/>
      <c r="P1491" s="139"/>
      <c r="Q1491" s="38"/>
      <c r="R1491" s="38"/>
      <c r="S1491" s="38"/>
      <c r="T1491" s="38"/>
      <c r="U1491" s="38"/>
      <c r="V1491" s="38"/>
    </row>
    <row r="1492">
      <c r="A1492" s="134"/>
      <c r="B1492" s="33"/>
      <c r="C1492" s="33"/>
      <c r="D1492" s="135"/>
      <c r="E1492" s="33"/>
      <c r="F1492" s="136"/>
      <c r="G1492" s="33"/>
      <c r="H1492" s="135"/>
      <c r="I1492" s="137"/>
      <c r="J1492" s="137"/>
      <c r="K1492" s="33"/>
      <c r="L1492" s="138"/>
      <c r="M1492" s="33"/>
      <c r="N1492" s="135"/>
      <c r="O1492" s="90"/>
      <c r="P1492" s="139"/>
      <c r="Q1492" s="38"/>
      <c r="R1492" s="38"/>
      <c r="S1492" s="38"/>
      <c r="T1492" s="38"/>
      <c r="U1492" s="38"/>
      <c r="V1492" s="38"/>
    </row>
    <row r="1493">
      <c r="A1493" s="134"/>
      <c r="B1493" s="33"/>
      <c r="C1493" s="33"/>
      <c r="D1493" s="135"/>
      <c r="E1493" s="33"/>
      <c r="F1493" s="136"/>
      <c r="G1493" s="33"/>
      <c r="H1493" s="135"/>
      <c r="I1493" s="137"/>
      <c r="J1493" s="137"/>
      <c r="K1493" s="33"/>
      <c r="L1493" s="138"/>
      <c r="M1493" s="33"/>
      <c r="N1493" s="135"/>
      <c r="O1493" s="90"/>
      <c r="P1493" s="139"/>
      <c r="Q1493" s="38"/>
      <c r="R1493" s="38"/>
      <c r="S1493" s="38"/>
      <c r="T1493" s="38"/>
      <c r="U1493" s="38"/>
      <c r="V1493" s="38"/>
    </row>
    <row r="1494">
      <c r="A1494" s="134"/>
      <c r="B1494" s="33"/>
      <c r="C1494" s="33"/>
      <c r="D1494" s="135"/>
      <c r="E1494" s="33"/>
      <c r="F1494" s="136"/>
      <c r="G1494" s="33"/>
      <c r="H1494" s="135"/>
      <c r="I1494" s="137"/>
      <c r="J1494" s="137"/>
      <c r="K1494" s="33"/>
      <c r="L1494" s="138"/>
      <c r="M1494" s="33"/>
      <c r="N1494" s="135"/>
      <c r="O1494" s="90"/>
      <c r="P1494" s="139"/>
      <c r="Q1494" s="38"/>
      <c r="R1494" s="38"/>
      <c r="S1494" s="38"/>
      <c r="T1494" s="38"/>
      <c r="U1494" s="38"/>
      <c r="V1494" s="38"/>
    </row>
    <row r="1495">
      <c r="A1495" s="134"/>
      <c r="B1495" s="33"/>
      <c r="C1495" s="33"/>
      <c r="D1495" s="135"/>
      <c r="E1495" s="33"/>
      <c r="F1495" s="136"/>
      <c r="G1495" s="33"/>
      <c r="H1495" s="135"/>
      <c r="I1495" s="137"/>
      <c r="J1495" s="137"/>
      <c r="K1495" s="33"/>
      <c r="L1495" s="138"/>
      <c r="M1495" s="33"/>
      <c r="N1495" s="135"/>
      <c r="O1495" s="90"/>
      <c r="P1495" s="139"/>
      <c r="Q1495" s="38"/>
      <c r="R1495" s="38"/>
      <c r="S1495" s="38"/>
      <c r="T1495" s="38"/>
      <c r="U1495" s="38"/>
      <c r="V1495" s="38"/>
    </row>
    <row r="1496">
      <c r="A1496" s="134"/>
      <c r="B1496" s="33"/>
      <c r="C1496" s="33"/>
      <c r="D1496" s="135"/>
      <c r="E1496" s="33"/>
      <c r="F1496" s="136"/>
      <c r="G1496" s="33"/>
      <c r="H1496" s="135"/>
      <c r="I1496" s="137"/>
      <c r="J1496" s="137"/>
      <c r="K1496" s="33"/>
      <c r="L1496" s="138"/>
      <c r="M1496" s="33"/>
      <c r="N1496" s="135"/>
      <c r="O1496" s="90"/>
      <c r="P1496" s="139"/>
      <c r="Q1496" s="38"/>
      <c r="R1496" s="38"/>
      <c r="S1496" s="38"/>
      <c r="T1496" s="38"/>
      <c r="U1496" s="38"/>
      <c r="V1496" s="38"/>
    </row>
    <row r="1497">
      <c r="A1497" s="134"/>
      <c r="B1497" s="33"/>
      <c r="C1497" s="33"/>
      <c r="D1497" s="135"/>
      <c r="E1497" s="33"/>
      <c r="F1497" s="136"/>
      <c r="G1497" s="33"/>
      <c r="H1497" s="135"/>
      <c r="I1497" s="137"/>
      <c r="J1497" s="137"/>
      <c r="K1497" s="33"/>
      <c r="L1497" s="138"/>
      <c r="M1497" s="33"/>
      <c r="N1497" s="135"/>
      <c r="O1497" s="90"/>
      <c r="P1497" s="139"/>
      <c r="Q1497" s="38"/>
      <c r="R1497" s="38"/>
      <c r="S1497" s="38"/>
      <c r="T1497" s="38"/>
      <c r="U1497" s="38"/>
      <c r="V1497" s="38"/>
    </row>
    <row r="1498">
      <c r="A1498" s="134"/>
      <c r="B1498" s="33"/>
      <c r="C1498" s="33"/>
      <c r="D1498" s="135"/>
      <c r="E1498" s="33"/>
      <c r="F1498" s="136"/>
      <c r="G1498" s="33"/>
      <c r="H1498" s="135"/>
      <c r="I1498" s="137"/>
      <c r="J1498" s="137"/>
      <c r="K1498" s="33"/>
      <c r="L1498" s="138"/>
      <c r="M1498" s="33"/>
      <c r="N1498" s="135"/>
      <c r="O1498" s="90"/>
      <c r="P1498" s="139"/>
      <c r="Q1498" s="38"/>
      <c r="R1498" s="38"/>
      <c r="S1498" s="38"/>
      <c r="T1498" s="38"/>
      <c r="U1498" s="38"/>
      <c r="V1498" s="38"/>
    </row>
    <row r="1499">
      <c r="A1499" s="134"/>
      <c r="B1499" s="33"/>
      <c r="C1499" s="33"/>
      <c r="D1499" s="135"/>
      <c r="E1499" s="33"/>
      <c r="F1499" s="136"/>
      <c r="G1499" s="33"/>
      <c r="H1499" s="135"/>
      <c r="I1499" s="137"/>
      <c r="J1499" s="137"/>
      <c r="K1499" s="33"/>
      <c r="L1499" s="138"/>
      <c r="M1499" s="33"/>
      <c r="N1499" s="135"/>
      <c r="O1499" s="90"/>
      <c r="P1499" s="139"/>
      <c r="Q1499" s="38"/>
      <c r="R1499" s="38"/>
      <c r="S1499" s="38"/>
      <c r="T1499" s="38"/>
      <c r="U1499" s="38"/>
      <c r="V1499" s="38"/>
    </row>
    <row r="1500">
      <c r="A1500" s="134"/>
      <c r="B1500" s="33"/>
      <c r="C1500" s="33"/>
      <c r="D1500" s="135"/>
      <c r="E1500" s="33"/>
      <c r="F1500" s="136"/>
      <c r="G1500" s="33"/>
      <c r="H1500" s="135"/>
      <c r="I1500" s="137"/>
      <c r="J1500" s="137"/>
      <c r="K1500" s="33"/>
      <c r="L1500" s="138"/>
      <c r="M1500" s="33"/>
      <c r="N1500" s="135"/>
      <c r="O1500" s="90"/>
      <c r="P1500" s="139"/>
      <c r="Q1500" s="38"/>
      <c r="R1500" s="38"/>
      <c r="S1500" s="38"/>
      <c r="T1500" s="38"/>
      <c r="U1500" s="38"/>
      <c r="V1500" s="38"/>
    </row>
    <row r="1501">
      <c r="A1501" s="134"/>
      <c r="B1501" s="33"/>
      <c r="C1501" s="33"/>
      <c r="D1501" s="135"/>
      <c r="E1501" s="33"/>
      <c r="F1501" s="136"/>
      <c r="G1501" s="33"/>
      <c r="H1501" s="135"/>
      <c r="I1501" s="137"/>
      <c r="J1501" s="137"/>
      <c r="K1501" s="33"/>
      <c r="L1501" s="138"/>
      <c r="M1501" s="33"/>
      <c r="N1501" s="135"/>
      <c r="O1501" s="90"/>
      <c r="P1501" s="139"/>
      <c r="Q1501" s="38"/>
      <c r="R1501" s="38"/>
      <c r="S1501" s="38"/>
      <c r="T1501" s="38"/>
      <c r="U1501" s="38"/>
      <c r="V1501" s="38"/>
    </row>
    <row r="1502">
      <c r="A1502" s="134"/>
      <c r="B1502" s="33"/>
      <c r="C1502" s="33"/>
      <c r="D1502" s="135"/>
      <c r="E1502" s="33"/>
      <c r="F1502" s="136"/>
      <c r="G1502" s="33"/>
      <c r="H1502" s="135"/>
      <c r="I1502" s="137"/>
      <c r="J1502" s="137"/>
      <c r="K1502" s="33"/>
      <c r="L1502" s="138"/>
      <c r="M1502" s="33"/>
      <c r="N1502" s="135"/>
      <c r="O1502" s="90"/>
      <c r="P1502" s="139"/>
      <c r="Q1502" s="38"/>
      <c r="R1502" s="38"/>
      <c r="S1502" s="38"/>
      <c r="T1502" s="38"/>
      <c r="U1502" s="38"/>
      <c r="V1502" s="38"/>
    </row>
    <row r="1503">
      <c r="A1503" s="134"/>
      <c r="B1503" s="33"/>
      <c r="C1503" s="33"/>
      <c r="D1503" s="135"/>
      <c r="E1503" s="33"/>
      <c r="F1503" s="136"/>
      <c r="G1503" s="33"/>
      <c r="H1503" s="135"/>
      <c r="I1503" s="137"/>
      <c r="J1503" s="137"/>
      <c r="K1503" s="33"/>
      <c r="L1503" s="138"/>
      <c r="M1503" s="33"/>
      <c r="N1503" s="135"/>
      <c r="O1503" s="90"/>
      <c r="P1503" s="139"/>
      <c r="Q1503" s="38"/>
      <c r="R1503" s="38"/>
      <c r="S1503" s="38"/>
      <c r="T1503" s="38"/>
      <c r="U1503" s="38"/>
      <c r="V1503" s="38"/>
    </row>
    <row r="1504">
      <c r="A1504" s="134"/>
      <c r="B1504" s="33"/>
      <c r="C1504" s="33"/>
      <c r="D1504" s="135"/>
      <c r="E1504" s="33"/>
      <c r="F1504" s="136"/>
      <c r="G1504" s="33"/>
      <c r="H1504" s="135"/>
      <c r="I1504" s="137"/>
      <c r="J1504" s="137"/>
      <c r="K1504" s="33"/>
      <c r="L1504" s="138"/>
      <c r="M1504" s="33"/>
      <c r="N1504" s="135"/>
      <c r="O1504" s="90"/>
      <c r="P1504" s="139"/>
      <c r="Q1504" s="38"/>
      <c r="R1504" s="38"/>
      <c r="S1504" s="38"/>
      <c r="T1504" s="38"/>
      <c r="U1504" s="38"/>
      <c r="V1504" s="38"/>
    </row>
    <row r="1505">
      <c r="A1505" s="134"/>
      <c r="B1505" s="33"/>
      <c r="C1505" s="33"/>
      <c r="D1505" s="135"/>
      <c r="E1505" s="33"/>
      <c r="F1505" s="136"/>
      <c r="G1505" s="33"/>
      <c r="H1505" s="135"/>
      <c r="I1505" s="137"/>
      <c r="J1505" s="137"/>
      <c r="K1505" s="33"/>
      <c r="L1505" s="138"/>
      <c r="M1505" s="33"/>
      <c r="N1505" s="135"/>
      <c r="O1505" s="90"/>
      <c r="P1505" s="139"/>
      <c r="Q1505" s="38"/>
      <c r="R1505" s="38"/>
      <c r="S1505" s="38"/>
      <c r="T1505" s="38"/>
      <c r="U1505" s="38"/>
      <c r="V1505" s="38"/>
    </row>
    <row r="1506">
      <c r="A1506" s="134"/>
      <c r="B1506" s="33"/>
      <c r="C1506" s="33"/>
      <c r="D1506" s="135"/>
      <c r="E1506" s="33"/>
      <c r="F1506" s="136"/>
      <c r="G1506" s="33"/>
      <c r="H1506" s="135"/>
      <c r="I1506" s="137"/>
      <c r="J1506" s="137"/>
      <c r="K1506" s="33"/>
      <c r="L1506" s="138"/>
      <c r="M1506" s="33"/>
      <c r="N1506" s="135"/>
      <c r="O1506" s="90"/>
      <c r="P1506" s="139"/>
      <c r="Q1506" s="38"/>
      <c r="R1506" s="38"/>
      <c r="S1506" s="38"/>
      <c r="T1506" s="38"/>
      <c r="U1506" s="38"/>
      <c r="V1506" s="38"/>
    </row>
  </sheetData>
  <autoFilter ref="$A$1:$P$939"/>
  <dataValidations>
    <dataValidation type="list" allowBlank="1" showErrorMessage="1" sqref="D216">
      <formula1>#REF!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7.88"/>
    <col customWidth="1" min="5" max="5" width="44.75"/>
  </cols>
  <sheetData>
    <row r="1">
      <c r="A1" s="1" t="s">
        <v>0</v>
      </c>
      <c r="B1" s="1" t="s">
        <v>1</v>
      </c>
    </row>
    <row r="2">
      <c r="A2" s="2" t="s">
        <v>2</v>
      </c>
      <c r="B2" s="3">
        <v>4.0</v>
      </c>
    </row>
    <row r="3">
      <c r="A3" s="2" t="s">
        <v>4</v>
      </c>
      <c r="B3" s="3">
        <v>6.0</v>
      </c>
    </row>
    <row r="4">
      <c r="A4" s="2" t="s">
        <v>5</v>
      </c>
      <c r="B4" s="3">
        <v>19.0</v>
      </c>
    </row>
    <row r="5">
      <c r="A5" s="2" t="s">
        <v>6</v>
      </c>
      <c r="B5" s="3">
        <v>2.0</v>
      </c>
    </row>
    <row r="6">
      <c r="A6" s="2" t="s">
        <v>8</v>
      </c>
      <c r="B6" s="3">
        <v>3.0</v>
      </c>
    </row>
    <row r="7">
      <c r="A7" s="2" t="s">
        <v>9</v>
      </c>
      <c r="B7" s="3">
        <v>1.0</v>
      </c>
    </row>
    <row r="8">
      <c r="A8" s="2" t="s">
        <v>10</v>
      </c>
      <c r="B8" s="3">
        <v>7.0</v>
      </c>
    </row>
    <row r="9">
      <c r="A9" s="2" t="s">
        <v>11</v>
      </c>
      <c r="B9" s="3">
        <v>4.0</v>
      </c>
    </row>
    <row r="10">
      <c r="A10" s="5"/>
      <c r="B10" s="5"/>
    </row>
    <row r="11">
      <c r="A11" s="5"/>
      <c r="B11" s="5"/>
    </row>
    <row r="12">
      <c r="A12" s="5"/>
      <c r="B12" s="5"/>
    </row>
    <row r="13">
      <c r="A13" s="5"/>
      <c r="B13" s="5"/>
    </row>
    <row r="14">
      <c r="A14" s="5"/>
      <c r="B14" s="5"/>
    </row>
    <row r="15">
      <c r="A15" s="5"/>
      <c r="B15" s="5"/>
    </row>
    <row r="16">
      <c r="A16" s="5"/>
      <c r="B16" s="5"/>
    </row>
    <row r="17">
      <c r="A17" s="5"/>
      <c r="B17" s="5"/>
    </row>
    <row r="18">
      <c r="A18" s="5"/>
      <c r="B18" s="5"/>
    </row>
    <row r="19">
      <c r="A19" s="5"/>
      <c r="B19" s="5"/>
    </row>
    <row r="20">
      <c r="A20" s="5"/>
      <c r="B20" s="5"/>
    </row>
    <row r="21">
      <c r="A21" s="5"/>
      <c r="B21" s="5"/>
    </row>
    <row r="22">
      <c r="A22" s="5"/>
      <c r="B22" s="5"/>
    </row>
    <row r="23">
      <c r="A23" s="5"/>
      <c r="B23" s="5"/>
    </row>
    <row r="24">
      <c r="A24" s="5"/>
      <c r="B24" s="5"/>
    </row>
    <row r="25">
      <c r="A25" s="5"/>
      <c r="B25" s="5"/>
    </row>
    <row r="26">
      <c r="A26" s="5"/>
      <c r="B26" s="5"/>
    </row>
    <row r="27">
      <c r="A27" s="5"/>
      <c r="B27" s="5"/>
    </row>
    <row r="28">
      <c r="A28" s="5"/>
      <c r="B28" s="5"/>
    </row>
    <row r="29">
      <c r="A29" s="5"/>
      <c r="B29" s="5"/>
    </row>
    <row r="30">
      <c r="A30" s="5"/>
      <c r="B30" s="5"/>
    </row>
    <row r="31">
      <c r="A31" s="5"/>
      <c r="B31" s="5"/>
    </row>
    <row r="32">
      <c r="A32" s="5"/>
      <c r="B32" s="5"/>
    </row>
    <row r="33">
      <c r="A33" s="5"/>
      <c r="B33" s="5"/>
    </row>
    <row r="34">
      <c r="A34" s="5"/>
      <c r="B34" s="5"/>
      <c r="D34" s="13" t="s">
        <v>18</v>
      </c>
      <c r="E34" s="13">
        <v>10636.0</v>
      </c>
    </row>
    <row r="35">
      <c r="A35" s="5"/>
      <c r="B35" s="5"/>
      <c r="D35" s="13" t="s">
        <v>21</v>
      </c>
      <c r="E35" s="13">
        <v>10635.0</v>
      </c>
    </row>
    <row r="36">
      <c r="A36" s="14"/>
      <c r="B36" s="14"/>
      <c r="E36" s="13">
        <v>10564.0</v>
      </c>
    </row>
    <row r="37">
      <c r="A37" s="14"/>
      <c r="B37" s="14"/>
      <c r="E37" s="13">
        <v>9081.0</v>
      </c>
    </row>
    <row r="38">
      <c r="A38" s="14"/>
      <c r="B38" s="14"/>
      <c r="E38" s="13">
        <v>10287.0</v>
      </c>
    </row>
    <row r="39">
      <c r="A39" s="14"/>
      <c r="B39" s="14"/>
      <c r="E39" s="13">
        <v>10496.0</v>
      </c>
    </row>
    <row r="40">
      <c r="A40" s="14"/>
      <c r="B40" s="14"/>
      <c r="E40" s="13" t="s">
        <v>28</v>
      </c>
    </row>
    <row r="41">
      <c r="A41" s="14"/>
      <c r="B41" s="14"/>
    </row>
    <row r="42">
      <c r="A42" s="20"/>
      <c r="B42" s="20"/>
    </row>
    <row r="43">
      <c r="A43" s="20"/>
      <c r="B43" s="20"/>
    </row>
    <row r="44">
      <c r="A44" s="20"/>
      <c r="B44" s="20"/>
    </row>
    <row r="45">
      <c r="A45" s="20"/>
      <c r="B45" s="20"/>
    </row>
    <row r="46">
      <c r="A46" s="20"/>
      <c r="B46" s="20"/>
    </row>
    <row r="47">
      <c r="A47" s="20"/>
      <c r="B47" s="20"/>
    </row>
    <row r="48">
      <c r="A48" s="20"/>
      <c r="B48" s="20"/>
    </row>
    <row r="49">
      <c r="A49" s="20"/>
      <c r="B49" s="20"/>
    </row>
    <row r="50">
      <c r="A50" s="20"/>
      <c r="B50" s="20"/>
    </row>
    <row r="51">
      <c r="A51" s="20"/>
      <c r="B51" s="20"/>
    </row>
    <row r="52">
      <c r="A52" s="20"/>
      <c r="B52" s="20"/>
    </row>
    <row r="53">
      <c r="A53" s="20"/>
      <c r="B53" s="20"/>
    </row>
    <row r="54">
      <c r="A54" s="20"/>
      <c r="B54" s="20"/>
    </row>
    <row r="55">
      <c r="A55" s="20"/>
      <c r="B55" s="20"/>
    </row>
    <row r="56">
      <c r="A56" s="20"/>
      <c r="B56" s="20"/>
    </row>
    <row r="57">
      <c r="A57" s="20"/>
      <c r="B57" s="20"/>
    </row>
    <row r="58">
      <c r="A58" s="20"/>
      <c r="B58" s="20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63"/>
    <col customWidth="1" min="3" max="3" width="12.0"/>
    <col customWidth="1" min="4" max="4" width="42.38"/>
    <col customWidth="1" min="6" max="6" width="17.38"/>
    <col customWidth="1" min="8" max="8" width="25.63"/>
    <col customWidth="1" min="9" max="9" width="17.5"/>
    <col customWidth="1" min="10" max="10" width="16.63"/>
    <col customWidth="1" min="11" max="11" width="9.38"/>
    <col customWidth="1" min="12" max="12" width="15.13"/>
    <col customWidth="1" min="13" max="13" width="17.88"/>
    <col customWidth="1" min="14" max="14" width="18.0"/>
    <col customWidth="1" min="15" max="15" width="20.88"/>
  </cols>
  <sheetData>
    <row r="1">
      <c r="A1" s="42" t="s">
        <v>3</v>
      </c>
      <c r="B1" s="42" t="s">
        <v>7</v>
      </c>
      <c r="C1" s="43" t="s">
        <v>12</v>
      </c>
      <c r="D1" s="42" t="s">
        <v>0</v>
      </c>
      <c r="E1" s="42" t="s">
        <v>1</v>
      </c>
      <c r="F1" s="44" t="s">
        <v>16</v>
      </c>
      <c r="G1" s="45" t="s">
        <v>19</v>
      </c>
      <c r="H1" s="42" t="s">
        <v>20</v>
      </c>
      <c r="I1" s="42" t="s">
        <v>22</v>
      </c>
      <c r="J1" s="42" t="s">
        <v>23</v>
      </c>
      <c r="K1" s="42" t="s">
        <v>24</v>
      </c>
      <c r="L1" s="42" t="s">
        <v>25</v>
      </c>
      <c r="M1" s="42" t="s">
        <v>26</v>
      </c>
      <c r="N1" s="46" t="s">
        <v>27</v>
      </c>
      <c r="O1" s="47" t="s">
        <v>30</v>
      </c>
      <c r="P1" s="49"/>
    </row>
    <row r="2">
      <c r="A2" s="50">
        <v>45897.0</v>
      </c>
      <c r="B2" s="29">
        <v>2.093501849E9</v>
      </c>
      <c r="C2" s="2" t="s">
        <v>40</v>
      </c>
      <c r="D2" s="2" t="s">
        <v>8</v>
      </c>
      <c r="E2" s="24">
        <v>1.0</v>
      </c>
      <c r="F2" s="24" t="s">
        <v>107</v>
      </c>
      <c r="G2" s="24">
        <v>6772.0</v>
      </c>
      <c r="H2" s="32" t="str">
        <f t="shared" ref="H2:H12" si="1">CONCATENATE(G2,"-","GSB","-",F2)</f>
        <v>6772-GSB-042257953720020164</v>
      </c>
      <c r="I2" s="32" t="s">
        <v>111</v>
      </c>
      <c r="J2" s="24" t="s">
        <v>112</v>
      </c>
      <c r="K2" s="52">
        <v>46053.0</v>
      </c>
      <c r="L2" s="32" t="s">
        <v>60</v>
      </c>
      <c r="M2" s="2">
        <v>2570.0</v>
      </c>
      <c r="N2" s="36" t="s">
        <v>115</v>
      </c>
      <c r="O2" s="37">
        <v>46086.0</v>
      </c>
      <c r="P2" s="49"/>
    </row>
    <row r="3">
      <c r="A3" s="50">
        <v>45897.0</v>
      </c>
      <c r="B3" s="29">
        <v>2.093501849E9</v>
      </c>
      <c r="C3" s="2" t="s">
        <v>40</v>
      </c>
      <c r="D3" s="2" t="s">
        <v>8</v>
      </c>
      <c r="E3" s="24">
        <v>1.0</v>
      </c>
      <c r="F3" s="24" t="s">
        <v>116</v>
      </c>
      <c r="G3" s="24">
        <v>5982.0</v>
      </c>
      <c r="H3" s="32" t="str">
        <f t="shared" si="1"/>
        <v>5982-GSB-042257948004020028</v>
      </c>
      <c r="I3" s="32" t="s">
        <v>111</v>
      </c>
      <c r="J3" s="24" t="s">
        <v>112</v>
      </c>
      <c r="K3" s="52">
        <v>46053.0</v>
      </c>
      <c r="L3" s="32" t="s">
        <v>60</v>
      </c>
      <c r="M3" s="2">
        <v>2558.0</v>
      </c>
      <c r="N3" s="36" t="s">
        <v>117</v>
      </c>
      <c r="O3" s="37">
        <v>46056.0</v>
      </c>
      <c r="P3" s="49"/>
    </row>
    <row r="4">
      <c r="A4" s="50">
        <v>45897.0</v>
      </c>
      <c r="B4" s="29">
        <v>2.093501849E9</v>
      </c>
      <c r="C4" s="2" t="s">
        <v>71</v>
      </c>
      <c r="D4" s="2" t="s">
        <v>50</v>
      </c>
      <c r="E4" s="24">
        <v>1.0</v>
      </c>
      <c r="F4" s="24" t="s">
        <v>119</v>
      </c>
      <c r="G4" s="24">
        <v>2431.0</v>
      </c>
      <c r="H4" s="32" t="str">
        <f t="shared" si="1"/>
        <v>2431-GSB-042163653706100213</v>
      </c>
      <c r="I4" s="32" t="s">
        <v>111</v>
      </c>
      <c r="J4" s="24" t="s">
        <v>112</v>
      </c>
      <c r="K4" s="52">
        <v>46053.0</v>
      </c>
      <c r="L4" s="32" t="s">
        <v>60</v>
      </c>
      <c r="M4" s="53" t="s">
        <v>120</v>
      </c>
      <c r="N4" s="53" t="s">
        <v>120</v>
      </c>
      <c r="O4" s="53" t="s">
        <v>120</v>
      </c>
      <c r="P4" s="49"/>
    </row>
    <row r="5">
      <c r="A5" s="50">
        <v>45897.0</v>
      </c>
      <c r="B5" s="29">
        <v>2.093501849E9</v>
      </c>
      <c r="C5" s="2" t="s">
        <v>71</v>
      </c>
      <c r="D5" s="2" t="s">
        <v>50</v>
      </c>
      <c r="E5" s="24">
        <v>1.0</v>
      </c>
      <c r="F5" s="24" t="s">
        <v>122</v>
      </c>
      <c r="G5" s="24">
        <v>2430.0</v>
      </c>
      <c r="H5" s="32" t="str">
        <f t="shared" si="1"/>
        <v>2430-GSB-042163653706100268</v>
      </c>
      <c r="I5" s="32" t="s">
        <v>111</v>
      </c>
      <c r="J5" s="24" t="s">
        <v>112</v>
      </c>
      <c r="K5" s="52">
        <v>46053.0</v>
      </c>
      <c r="L5" s="32" t="s">
        <v>60</v>
      </c>
      <c r="M5" s="53" t="s">
        <v>120</v>
      </c>
      <c r="N5" s="53" t="s">
        <v>120</v>
      </c>
      <c r="O5" s="53" t="s">
        <v>120</v>
      </c>
      <c r="P5" s="49"/>
    </row>
    <row r="6">
      <c r="A6" s="50">
        <v>45897.0</v>
      </c>
      <c r="B6" s="29">
        <v>2.093501849E9</v>
      </c>
      <c r="C6" s="2" t="s">
        <v>71</v>
      </c>
      <c r="D6" s="2" t="s">
        <v>50</v>
      </c>
      <c r="E6" s="24">
        <v>1.0</v>
      </c>
      <c r="F6" s="24" t="s">
        <v>123</v>
      </c>
      <c r="G6" s="24">
        <v>2465.0</v>
      </c>
      <c r="H6" s="32" t="str">
        <f t="shared" si="1"/>
        <v>2465-GSB-042163653706100215</v>
      </c>
      <c r="I6" s="32" t="s">
        <v>111</v>
      </c>
      <c r="J6" s="24" t="s">
        <v>112</v>
      </c>
      <c r="K6" s="52">
        <v>46053.0</v>
      </c>
      <c r="L6" s="32" t="s">
        <v>60</v>
      </c>
      <c r="M6" s="53" t="s">
        <v>120</v>
      </c>
      <c r="N6" s="53" t="s">
        <v>120</v>
      </c>
      <c r="O6" s="53" t="s">
        <v>120</v>
      </c>
      <c r="P6" s="49"/>
    </row>
    <row r="7">
      <c r="A7" s="50">
        <v>45897.0</v>
      </c>
      <c r="B7" s="29"/>
      <c r="C7" s="2">
        <v>4.998114565E9</v>
      </c>
      <c r="D7" s="2" t="s">
        <v>2</v>
      </c>
      <c r="E7" s="24">
        <v>1.0</v>
      </c>
      <c r="F7" s="24" t="s">
        <v>125</v>
      </c>
      <c r="G7" s="24">
        <v>2245.0</v>
      </c>
      <c r="H7" s="32" t="str">
        <f t="shared" si="1"/>
        <v>2245-GSB-SDS1034729</v>
      </c>
      <c r="I7" s="32" t="s">
        <v>126</v>
      </c>
      <c r="J7" s="24" t="s">
        <v>112</v>
      </c>
      <c r="K7" s="52">
        <v>46053.0</v>
      </c>
      <c r="L7" s="32" t="s">
        <v>60</v>
      </c>
      <c r="M7" s="53" t="s">
        <v>120</v>
      </c>
      <c r="N7" s="53" t="s">
        <v>120</v>
      </c>
      <c r="O7" s="53" t="s">
        <v>120</v>
      </c>
      <c r="P7" s="49"/>
    </row>
    <row r="8">
      <c r="A8" s="50">
        <v>45897.0</v>
      </c>
      <c r="B8" s="29"/>
      <c r="C8" s="2">
        <v>4.998114565E9</v>
      </c>
      <c r="D8" s="2" t="s">
        <v>2</v>
      </c>
      <c r="E8" s="24">
        <v>1.0</v>
      </c>
      <c r="F8" s="24" t="s">
        <v>127</v>
      </c>
      <c r="G8" s="24">
        <v>2219.0</v>
      </c>
      <c r="H8" s="32" t="str">
        <f t="shared" si="1"/>
        <v>2219-GSB-SDS1034703</v>
      </c>
      <c r="I8" s="32" t="s">
        <v>126</v>
      </c>
      <c r="J8" s="24" t="s">
        <v>112</v>
      </c>
      <c r="K8" s="52">
        <v>46053.0</v>
      </c>
      <c r="L8" s="32" t="s">
        <v>60</v>
      </c>
      <c r="M8" s="53" t="s">
        <v>120</v>
      </c>
      <c r="N8" s="53" t="s">
        <v>120</v>
      </c>
      <c r="O8" s="53" t="s">
        <v>120</v>
      </c>
      <c r="P8" s="49"/>
    </row>
    <row r="9">
      <c r="A9" s="50">
        <v>45897.0</v>
      </c>
      <c r="B9" s="29"/>
      <c r="C9" s="2" t="s">
        <v>129</v>
      </c>
      <c r="D9" s="2" t="s">
        <v>130</v>
      </c>
      <c r="E9" s="24">
        <v>1.0</v>
      </c>
      <c r="F9" s="24" t="s">
        <v>131</v>
      </c>
      <c r="G9" s="24">
        <v>2160.0</v>
      </c>
      <c r="H9" s="32" t="str">
        <f t="shared" si="1"/>
        <v>2160-GSB-093140347576520038</v>
      </c>
      <c r="I9" s="32" t="s">
        <v>126</v>
      </c>
      <c r="J9" s="24" t="s">
        <v>112</v>
      </c>
      <c r="K9" s="52">
        <v>46053.0</v>
      </c>
      <c r="L9" s="32" t="s">
        <v>60</v>
      </c>
      <c r="M9" s="53" t="s">
        <v>120</v>
      </c>
      <c r="N9" s="53" t="s">
        <v>120</v>
      </c>
      <c r="O9" s="53" t="s">
        <v>120</v>
      </c>
      <c r="P9" s="49"/>
    </row>
    <row r="10">
      <c r="A10" s="50">
        <v>45897.0</v>
      </c>
      <c r="B10" s="29"/>
      <c r="C10" s="2" t="s">
        <v>129</v>
      </c>
      <c r="D10" s="2" t="s">
        <v>130</v>
      </c>
      <c r="E10" s="24">
        <v>1.0</v>
      </c>
      <c r="F10" s="24" t="s">
        <v>133</v>
      </c>
      <c r="G10" s="24">
        <v>2161.0</v>
      </c>
      <c r="H10" s="32" t="str">
        <f t="shared" si="1"/>
        <v>2161-GSB-093140347576520115</v>
      </c>
      <c r="I10" s="32" t="s">
        <v>126</v>
      </c>
      <c r="J10" s="24" t="s">
        <v>112</v>
      </c>
      <c r="K10" s="52">
        <v>46053.0</v>
      </c>
      <c r="L10" s="32" t="s">
        <v>60</v>
      </c>
      <c r="M10" s="53" t="s">
        <v>120</v>
      </c>
      <c r="N10" s="53" t="s">
        <v>120</v>
      </c>
      <c r="O10" s="53" t="s">
        <v>120</v>
      </c>
      <c r="P10" s="49"/>
    </row>
    <row r="11">
      <c r="A11" s="22">
        <v>46085.0</v>
      </c>
      <c r="B11" s="24" t="s">
        <v>135</v>
      </c>
      <c r="C11" s="2">
        <v>6.76544009023E11</v>
      </c>
      <c r="D11" s="2" t="s">
        <v>136</v>
      </c>
      <c r="E11" s="24">
        <v>1.0</v>
      </c>
      <c r="F11" s="24" t="s">
        <v>35</v>
      </c>
      <c r="G11" s="2">
        <v>10103.0</v>
      </c>
      <c r="H11" s="32" t="str">
        <f t="shared" si="1"/>
        <v>10103-GSB-N/A</v>
      </c>
      <c r="I11" s="32" t="s">
        <v>138</v>
      </c>
      <c r="J11" s="24" t="s">
        <v>112</v>
      </c>
      <c r="K11" s="54">
        <v>46085.0</v>
      </c>
      <c r="L11" s="24" t="s">
        <v>139</v>
      </c>
      <c r="M11" s="2">
        <v>2569.0</v>
      </c>
      <c r="N11" s="36" t="s">
        <v>140</v>
      </c>
      <c r="O11" s="37">
        <v>46085.0</v>
      </c>
      <c r="P11" s="49"/>
    </row>
    <row r="12">
      <c r="A12" s="22">
        <v>46085.0</v>
      </c>
      <c r="B12" s="24" t="s">
        <v>135</v>
      </c>
      <c r="C12" s="2">
        <v>6.76544009023E11</v>
      </c>
      <c r="D12" s="2" t="s">
        <v>136</v>
      </c>
      <c r="E12" s="24">
        <v>1.0</v>
      </c>
      <c r="F12" s="24" t="s">
        <v>35</v>
      </c>
      <c r="G12" s="2">
        <v>10104.0</v>
      </c>
      <c r="H12" s="32" t="str">
        <f t="shared" si="1"/>
        <v>10104-GSB-N/A</v>
      </c>
      <c r="I12" s="32" t="s">
        <v>138</v>
      </c>
      <c r="J12" s="24" t="s">
        <v>112</v>
      </c>
      <c r="K12" s="54">
        <v>46085.0</v>
      </c>
      <c r="L12" s="24" t="s">
        <v>139</v>
      </c>
      <c r="M12" s="2">
        <v>2569.0</v>
      </c>
      <c r="N12" s="36" t="s">
        <v>140</v>
      </c>
      <c r="O12" s="37">
        <v>46085.0</v>
      </c>
      <c r="P12" s="49"/>
    </row>
    <row r="13">
      <c r="A13" s="55"/>
      <c r="B13" s="55"/>
      <c r="C13" s="55"/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49"/>
    </row>
    <row r="14">
      <c r="A14" s="49"/>
      <c r="B14" s="49"/>
      <c r="C14" s="49"/>
      <c r="D14" s="49"/>
      <c r="E14" s="49"/>
      <c r="F14" s="49"/>
      <c r="G14" s="49"/>
      <c r="H14" s="49"/>
      <c r="I14" s="49"/>
      <c r="J14" s="49"/>
      <c r="K14" s="49"/>
      <c r="L14" s="49"/>
      <c r="M14" s="49"/>
      <c r="N14" s="49"/>
      <c r="O14" s="49"/>
      <c r="P14" s="49"/>
    </row>
    <row r="15">
      <c r="A15" s="49"/>
      <c r="B15" s="49"/>
      <c r="C15" s="49"/>
      <c r="D15" s="49"/>
      <c r="E15" s="49"/>
      <c r="F15" s="49"/>
      <c r="G15" s="49"/>
      <c r="H15" s="49"/>
      <c r="I15" s="49"/>
      <c r="J15" s="49"/>
      <c r="K15" s="49"/>
      <c r="L15" s="49"/>
      <c r="M15" s="49"/>
      <c r="N15" s="49"/>
      <c r="O15" s="49"/>
      <c r="P15" s="49"/>
    </row>
    <row r="16">
      <c r="A16" s="49"/>
      <c r="B16" s="49"/>
      <c r="C16" s="49"/>
      <c r="D16" s="49"/>
      <c r="E16" s="49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63"/>
    <col customWidth="1" min="3" max="3" width="12.0"/>
    <col customWidth="1" min="4" max="4" width="49.63"/>
    <col customWidth="1" min="6" max="6" width="17.38"/>
    <col customWidth="1" min="8" max="8" width="28.88"/>
    <col customWidth="1" min="9" max="9" width="17.5"/>
    <col customWidth="1" min="10" max="10" width="16.63"/>
    <col customWidth="1" min="11" max="11" width="19.0"/>
    <col customWidth="1" min="12" max="12" width="13.5"/>
    <col customWidth="1" min="13" max="13" width="17.88"/>
    <col customWidth="1" min="14" max="14" width="18.0"/>
    <col customWidth="1" min="15" max="15" width="20.88"/>
  </cols>
  <sheetData>
    <row r="1">
      <c r="A1" s="42" t="s">
        <v>3</v>
      </c>
      <c r="B1" s="42" t="s">
        <v>7</v>
      </c>
      <c r="C1" s="43" t="s">
        <v>12</v>
      </c>
      <c r="D1" s="42" t="s">
        <v>0</v>
      </c>
      <c r="E1" s="42" t="s">
        <v>1</v>
      </c>
      <c r="F1" s="44" t="s">
        <v>16</v>
      </c>
      <c r="G1" s="45" t="s">
        <v>19</v>
      </c>
      <c r="H1" s="42" t="s">
        <v>20</v>
      </c>
      <c r="I1" s="42" t="s">
        <v>22</v>
      </c>
      <c r="J1" s="42" t="s">
        <v>23</v>
      </c>
      <c r="K1" s="42" t="s">
        <v>24</v>
      </c>
      <c r="L1" s="42" t="s">
        <v>25</v>
      </c>
      <c r="M1" s="42" t="s">
        <v>26</v>
      </c>
      <c r="N1" s="46" t="s">
        <v>27</v>
      </c>
      <c r="O1" s="47" t="s">
        <v>30</v>
      </c>
      <c r="P1" s="49"/>
    </row>
    <row r="2">
      <c r="A2" s="22">
        <v>46132.0</v>
      </c>
      <c r="B2" s="24"/>
      <c r="C2" s="24"/>
      <c r="D2" s="59" t="s">
        <v>41</v>
      </c>
      <c r="E2" s="24">
        <v>1.0</v>
      </c>
      <c r="F2" s="24" t="s">
        <v>35</v>
      </c>
      <c r="G2" s="2" t="s">
        <v>35</v>
      </c>
      <c r="H2" s="32" t="str">
        <f t="shared" ref="H2:H11" si="1">CONCATENATE(G2,"-","GSB","-",F2)</f>
        <v>N/A-GSB-N/A</v>
      </c>
      <c r="I2" s="24"/>
      <c r="J2" s="24" t="s">
        <v>55</v>
      </c>
      <c r="K2" s="52"/>
      <c r="L2" s="32"/>
      <c r="M2" s="2"/>
      <c r="N2" s="36"/>
      <c r="O2" s="37"/>
      <c r="P2" s="49"/>
    </row>
    <row r="3">
      <c r="A3" s="22">
        <v>46132.0</v>
      </c>
      <c r="B3" s="24"/>
      <c r="C3" s="24"/>
      <c r="D3" s="2" t="s">
        <v>193</v>
      </c>
      <c r="E3" s="24">
        <v>1.0</v>
      </c>
      <c r="F3" s="24" t="s">
        <v>194</v>
      </c>
      <c r="G3" s="2">
        <v>2174.0</v>
      </c>
      <c r="H3" s="32" t="str">
        <f t="shared" si="1"/>
        <v>2174-GSB-SDS-1033589</v>
      </c>
      <c r="I3" s="24"/>
      <c r="J3" s="24" t="s">
        <v>55</v>
      </c>
      <c r="K3" s="52"/>
      <c r="L3" s="32"/>
      <c r="M3" s="2"/>
      <c r="N3" s="36"/>
      <c r="O3" s="37"/>
      <c r="P3" s="49"/>
    </row>
    <row r="4">
      <c r="A4" s="22">
        <v>46132.0</v>
      </c>
      <c r="B4" s="24"/>
      <c r="C4" s="24"/>
      <c r="D4" s="2" t="s">
        <v>59</v>
      </c>
      <c r="E4" s="24">
        <v>1.0</v>
      </c>
      <c r="F4" s="24" t="s">
        <v>196</v>
      </c>
      <c r="G4" s="2">
        <v>10163.0</v>
      </c>
      <c r="H4" s="32" t="str">
        <f t="shared" si="1"/>
        <v>10163-GSB-042186337611100232</v>
      </c>
      <c r="I4" s="32"/>
      <c r="J4" s="24" t="s">
        <v>55</v>
      </c>
      <c r="K4" s="52"/>
      <c r="L4" s="32"/>
      <c r="M4" s="53"/>
      <c r="N4" s="53"/>
      <c r="O4" s="53"/>
      <c r="P4" s="49"/>
    </row>
    <row r="5">
      <c r="A5" s="22">
        <v>46132.0</v>
      </c>
      <c r="B5" s="24"/>
      <c r="C5" s="24">
        <v>4.998117557E9</v>
      </c>
      <c r="D5" s="2" t="s">
        <v>5</v>
      </c>
      <c r="E5" s="24">
        <v>1.0</v>
      </c>
      <c r="F5" s="24" t="s">
        <v>198</v>
      </c>
      <c r="G5" s="2">
        <v>10164.0</v>
      </c>
      <c r="H5" s="32" t="str">
        <f t="shared" si="1"/>
        <v>10164-GSB-092256853963290434</v>
      </c>
      <c r="I5" s="32"/>
      <c r="J5" s="24" t="s">
        <v>55</v>
      </c>
      <c r="K5" s="52"/>
      <c r="L5" s="32"/>
      <c r="M5" s="53"/>
      <c r="N5" s="53"/>
      <c r="O5" s="53"/>
      <c r="P5" s="49"/>
    </row>
    <row r="6">
      <c r="A6" s="22">
        <v>46132.0</v>
      </c>
      <c r="B6" s="24"/>
      <c r="C6" s="24">
        <v>4.998117557E9</v>
      </c>
      <c r="D6" s="2" t="s">
        <v>5</v>
      </c>
      <c r="E6" s="24">
        <v>1.0</v>
      </c>
      <c r="F6" s="24" t="s">
        <v>200</v>
      </c>
      <c r="G6" s="2">
        <v>10165.0</v>
      </c>
      <c r="H6" s="32" t="str">
        <f t="shared" si="1"/>
        <v>10165-GSB-092256847892120119</v>
      </c>
      <c r="I6" s="32"/>
      <c r="J6" s="24" t="s">
        <v>55</v>
      </c>
      <c r="K6" s="52"/>
      <c r="L6" s="32"/>
      <c r="M6" s="53"/>
      <c r="N6" s="53"/>
      <c r="O6" s="53"/>
      <c r="P6" s="49"/>
    </row>
    <row r="7">
      <c r="A7" s="22">
        <v>46132.0</v>
      </c>
      <c r="B7" s="24"/>
      <c r="C7" s="24" t="s">
        <v>202</v>
      </c>
      <c r="D7" s="2" t="s">
        <v>45</v>
      </c>
      <c r="E7" s="24">
        <v>1.0</v>
      </c>
      <c r="F7" s="24" t="s">
        <v>203</v>
      </c>
      <c r="G7" s="2">
        <v>10166.0</v>
      </c>
      <c r="H7" s="32" t="str">
        <f t="shared" si="1"/>
        <v>10166-GSB-042259543919100006</v>
      </c>
      <c r="I7" s="32"/>
      <c r="J7" s="24" t="s">
        <v>55</v>
      </c>
      <c r="K7" s="52"/>
      <c r="L7" s="32"/>
      <c r="M7" s="53"/>
      <c r="N7" s="53"/>
      <c r="O7" s="53"/>
      <c r="P7" s="49"/>
    </row>
    <row r="8">
      <c r="A8" s="22">
        <v>46132.0</v>
      </c>
      <c r="B8" s="29">
        <v>2.093501849E9</v>
      </c>
      <c r="C8" s="24" t="s">
        <v>148</v>
      </c>
      <c r="D8" s="2" t="s">
        <v>4</v>
      </c>
      <c r="E8" s="24">
        <v>1.0</v>
      </c>
      <c r="F8" s="24" t="s">
        <v>35</v>
      </c>
      <c r="G8" s="2">
        <v>10167.0</v>
      </c>
      <c r="H8" s="32" t="str">
        <f t="shared" si="1"/>
        <v>10167-GSB-N/A</v>
      </c>
      <c r="I8" s="32"/>
      <c r="J8" s="24" t="s">
        <v>55</v>
      </c>
      <c r="K8" s="52"/>
      <c r="L8" s="32"/>
      <c r="M8" s="53"/>
      <c r="N8" s="53"/>
      <c r="O8" s="53"/>
      <c r="P8" s="49"/>
    </row>
    <row r="9">
      <c r="A9" s="22">
        <v>46132.0</v>
      </c>
      <c r="B9" s="29">
        <v>2.093501849E9</v>
      </c>
      <c r="C9" s="24" t="s">
        <v>148</v>
      </c>
      <c r="D9" s="2" t="s">
        <v>4</v>
      </c>
      <c r="E9" s="24">
        <v>1.0</v>
      </c>
      <c r="F9" s="24" t="s">
        <v>35</v>
      </c>
      <c r="G9" s="2">
        <v>6841.0</v>
      </c>
      <c r="H9" s="32" t="str">
        <f t="shared" si="1"/>
        <v>6841-GSB-N/A</v>
      </c>
      <c r="I9" s="32"/>
      <c r="J9" s="24" t="s">
        <v>55</v>
      </c>
      <c r="K9" s="52"/>
      <c r="L9" s="32"/>
      <c r="M9" s="53"/>
      <c r="N9" s="53"/>
      <c r="O9" s="53"/>
      <c r="P9" s="49"/>
    </row>
    <row r="10">
      <c r="A10" s="22">
        <v>46132.0</v>
      </c>
      <c r="B10" s="24" t="s">
        <v>35</v>
      </c>
      <c r="C10" s="24">
        <v>4.998114565E9</v>
      </c>
      <c r="D10" s="2" t="s">
        <v>2</v>
      </c>
      <c r="E10" s="24">
        <v>1.0</v>
      </c>
      <c r="F10" s="24" t="s">
        <v>35</v>
      </c>
      <c r="G10" s="2">
        <v>10168.0</v>
      </c>
      <c r="H10" s="32" t="str">
        <f t="shared" si="1"/>
        <v>10168-GSB-N/A</v>
      </c>
      <c r="I10" s="32"/>
      <c r="J10" s="24" t="s">
        <v>55</v>
      </c>
      <c r="K10" s="52"/>
      <c r="L10" s="32"/>
      <c r="M10" s="53"/>
      <c r="N10" s="53"/>
      <c r="O10" s="53"/>
      <c r="P10" s="49"/>
    </row>
    <row r="11">
      <c r="A11" s="22">
        <v>46132.0</v>
      </c>
      <c r="B11" s="24" t="s">
        <v>35</v>
      </c>
      <c r="C11" s="24">
        <v>4.998114565E9</v>
      </c>
      <c r="D11" s="2" t="s">
        <v>2</v>
      </c>
      <c r="E11" s="24">
        <v>1.0</v>
      </c>
      <c r="F11" s="24" t="s">
        <v>35</v>
      </c>
      <c r="G11" s="2">
        <v>10169.0</v>
      </c>
      <c r="H11" s="32" t="str">
        <f t="shared" si="1"/>
        <v>10169-GSB-N/A</v>
      </c>
      <c r="I11" s="32"/>
      <c r="J11" s="24" t="s">
        <v>55</v>
      </c>
      <c r="K11" s="54"/>
      <c r="L11" s="24"/>
      <c r="M11" s="2"/>
      <c r="N11" s="36"/>
      <c r="O11" s="37"/>
      <c r="P11" s="49"/>
    </row>
    <row r="12">
      <c r="A12" s="22"/>
      <c r="B12" s="24"/>
      <c r="C12" s="2"/>
      <c r="D12" s="2"/>
      <c r="E12" s="24"/>
      <c r="F12" s="24"/>
      <c r="G12" s="2"/>
      <c r="H12" s="32"/>
      <c r="I12" s="32"/>
      <c r="J12" s="24"/>
      <c r="K12" s="54"/>
      <c r="L12" s="24"/>
      <c r="M12" s="2"/>
      <c r="N12" s="36"/>
      <c r="O12" s="37"/>
      <c r="P12" s="49"/>
    </row>
    <row r="13">
      <c r="A13" s="60"/>
      <c r="B13" s="60"/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  <c r="P13" s="49"/>
    </row>
    <row r="14">
      <c r="A14" s="60"/>
      <c r="B14" s="60"/>
      <c r="C14" s="60"/>
      <c r="D14" s="60"/>
      <c r="E14" s="60"/>
      <c r="F14" s="60"/>
      <c r="G14" s="60"/>
      <c r="H14" s="60"/>
      <c r="I14" s="60"/>
      <c r="J14" s="60"/>
      <c r="K14" s="60"/>
      <c r="L14" s="60"/>
      <c r="M14" s="60"/>
      <c r="N14" s="60"/>
      <c r="O14" s="60"/>
      <c r="P14" s="49"/>
    </row>
    <row r="15">
      <c r="A15" s="60"/>
      <c r="B15" s="60"/>
      <c r="C15" s="60"/>
      <c r="D15" s="60"/>
      <c r="E15" s="60"/>
      <c r="F15" s="60"/>
      <c r="G15" s="60"/>
      <c r="H15" s="60"/>
      <c r="I15" s="60"/>
      <c r="J15" s="60"/>
      <c r="K15" s="60"/>
      <c r="L15" s="60"/>
      <c r="M15" s="60"/>
      <c r="N15" s="60"/>
      <c r="O15" s="60"/>
      <c r="P15" s="49"/>
    </row>
    <row r="16">
      <c r="A16" s="60"/>
      <c r="B16" s="60"/>
      <c r="C16" s="60"/>
      <c r="D16" s="60"/>
      <c r="E16" s="60"/>
      <c r="F16" s="60"/>
      <c r="G16" s="60"/>
      <c r="H16" s="60"/>
      <c r="I16" s="60"/>
      <c r="J16" s="60"/>
      <c r="K16" s="60"/>
      <c r="L16" s="60"/>
      <c r="M16" s="60"/>
      <c r="N16" s="60"/>
      <c r="O16" s="60"/>
      <c r="P16" s="49"/>
    </row>
    <row r="17">
      <c r="A17" s="60"/>
      <c r="B17" s="60"/>
      <c r="C17" s="60"/>
      <c r="D17" s="60"/>
      <c r="E17" s="60"/>
      <c r="F17" s="60"/>
      <c r="G17" s="60"/>
      <c r="H17" s="60"/>
      <c r="I17" s="60"/>
      <c r="J17" s="60"/>
      <c r="K17" s="60"/>
      <c r="L17" s="60"/>
      <c r="M17" s="60"/>
      <c r="N17" s="60"/>
      <c r="O17" s="60"/>
    </row>
    <row r="18">
      <c r="A18" s="60"/>
      <c r="B18" s="60"/>
      <c r="C18" s="60"/>
      <c r="D18" s="60"/>
      <c r="E18" s="60"/>
      <c r="F18" s="60"/>
      <c r="G18" s="60"/>
      <c r="H18" s="60"/>
      <c r="I18" s="60"/>
      <c r="J18" s="60"/>
      <c r="K18" s="60"/>
      <c r="L18" s="60"/>
      <c r="M18" s="60"/>
      <c r="N18" s="60"/>
      <c r="O18" s="6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63"/>
    <col customWidth="1" min="3" max="3" width="12.0"/>
    <col customWidth="1" min="4" max="4" width="44.0"/>
    <col customWidth="1" min="6" max="6" width="17.38"/>
    <col customWidth="1" min="8" max="8" width="25.63"/>
    <col customWidth="1" min="9" max="9" width="17.5"/>
    <col customWidth="1" min="10" max="10" width="16.63"/>
    <col customWidth="1" min="11" max="11" width="9.38"/>
    <col customWidth="1" min="12" max="12" width="15.13"/>
    <col customWidth="1" min="13" max="13" width="17.88"/>
    <col customWidth="1" min="14" max="14" width="18.0"/>
    <col customWidth="1" min="15" max="15" width="20.88"/>
  </cols>
  <sheetData>
    <row r="1">
      <c r="A1" s="42" t="s">
        <v>3</v>
      </c>
      <c r="B1" s="42" t="s">
        <v>7</v>
      </c>
      <c r="C1" s="43" t="s">
        <v>12</v>
      </c>
      <c r="D1" s="42" t="s">
        <v>0</v>
      </c>
      <c r="E1" s="42" t="s">
        <v>1</v>
      </c>
      <c r="F1" s="44" t="s">
        <v>16</v>
      </c>
      <c r="G1" s="45" t="s">
        <v>19</v>
      </c>
      <c r="H1" s="42" t="s">
        <v>20</v>
      </c>
      <c r="I1" s="42" t="s">
        <v>22</v>
      </c>
      <c r="J1" s="42" t="s">
        <v>23</v>
      </c>
      <c r="K1" s="42" t="s">
        <v>24</v>
      </c>
      <c r="L1" s="42" t="s">
        <v>25</v>
      </c>
      <c r="M1" s="42" t="s">
        <v>26</v>
      </c>
      <c r="N1" s="46" t="s">
        <v>27</v>
      </c>
      <c r="O1" s="47" t="s">
        <v>30</v>
      </c>
      <c r="P1" s="49"/>
    </row>
    <row r="2">
      <c r="A2" s="22">
        <v>46141.0</v>
      </c>
      <c r="B2" s="24" t="s">
        <v>35</v>
      </c>
      <c r="C2" s="24" t="s">
        <v>108</v>
      </c>
      <c r="D2" s="2" t="s">
        <v>43</v>
      </c>
      <c r="E2" s="24">
        <v>1.0</v>
      </c>
      <c r="F2" s="24" t="s">
        <v>35</v>
      </c>
      <c r="G2" s="2">
        <v>7511.0</v>
      </c>
      <c r="H2" s="32" t="str">
        <f t="shared" ref="H2:H9" si="1">CONCATENATE(G2,"-","GSB","-",F2)</f>
        <v>7511-GSB-N/A</v>
      </c>
      <c r="I2" s="32"/>
      <c r="J2" s="32" t="s">
        <v>255</v>
      </c>
      <c r="K2" s="52"/>
      <c r="L2" s="32"/>
      <c r="M2" s="2"/>
      <c r="N2" s="36"/>
      <c r="O2" s="37"/>
      <c r="P2" s="49"/>
    </row>
    <row r="3">
      <c r="A3" s="22">
        <v>46141.0</v>
      </c>
      <c r="B3" s="24" t="s">
        <v>35</v>
      </c>
      <c r="C3" s="24" t="s">
        <v>108</v>
      </c>
      <c r="D3" s="2" t="s">
        <v>43</v>
      </c>
      <c r="E3" s="24">
        <v>1.0</v>
      </c>
      <c r="F3" s="24" t="s">
        <v>35</v>
      </c>
      <c r="G3" s="2">
        <v>7525.0</v>
      </c>
      <c r="H3" s="32" t="str">
        <f t="shared" si="1"/>
        <v>7525-GSB-N/A</v>
      </c>
      <c r="I3" s="32"/>
      <c r="J3" s="32" t="s">
        <v>255</v>
      </c>
      <c r="K3" s="52"/>
      <c r="L3" s="32"/>
      <c r="M3" s="2"/>
      <c r="N3" s="36"/>
      <c r="O3" s="37"/>
      <c r="P3" s="49"/>
    </row>
    <row r="4">
      <c r="A4" s="22">
        <v>46141.0</v>
      </c>
      <c r="B4" s="24" t="s">
        <v>35</v>
      </c>
      <c r="C4" s="24" t="s">
        <v>257</v>
      </c>
      <c r="D4" s="2" t="s">
        <v>57</v>
      </c>
      <c r="E4" s="24">
        <v>1.0</v>
      </c>
      <c r="F4" s="24" t="s">
        <v>35</v>
      </c>
      <c r="G4" s="2">
        <v>2933.0</v>
      </c>
      <c r="H4" s="32" t="str">
        <f t="shared" si="1"/>
        <v>2933-GSB-N/A</v>
      </c>
      <c r="I4" s="32"/>
      <c r="J4" s="32" t="s">
        <v>255</v>
      </c>
      <c r="K4" s="52"/>
      <c r="L4" s="32"/>
      <c r="M4" s="53"/>
      <c r="N4" s="53"/>
      <c r="O4" s="53"/>
      <c r="P4" s="49"/>
    </row>
    <row r="5">
      <c r="A5" s="22">
        <v>46141.0</v>
      </c>
      <c r="B5" s="24" t="s">
        <v>35</v>
      </c>
      <c r="C5" s="24" t="s">
        <v>257</v>
      </c>
      <c r="D5" s="2" t="s">
        <v>57</v>
      </c>
      <c r="E5" s="24">
        <v>1.0</v>
      </c>
      <c r="F5" s="24" t="s">
        <v>35</v>
      </c>
      <c r="G5" s="2">
        <v>8598.0</v>
      </c>
      <c r="H5" s="32" t="str">
        <f t="shared" si="1"/>
        <v>8598-GSB-N/A</v>
      </c>
      <c r="I5" s="24"/>
      <c r="J5" s="32" t="s">
        <v>255</v>
      </c>
      <c r="K5" s="52"/>
      <c r="L5" s="32"/>
      <c r="M5" s="53"/>
      <c r="N5" s="53"/>
      <c r="O5" s="53"/>
      <c r="P5" s="49"/>
    </row>
    <row r="6">
      <c r="A6" s="22">
        <v>46141.0</v>
      </c>
      <c r="B6" s="24" t="s">
        <v>35</v>
      </c>
      <c r="C6" s="24" t="s">
        <v>257</v>
      </c>
      <c r="D6" s="2" t="s">
        <v>57</v>
      </c>
      <c r="E6" s="24">
        <v>1.0</v>
      </c>
      <c r="F6" s="24" t="s">
        <v>35</v>
      </c>
      <c r="G6" s="2">
        <v>8593.0</v>
      </c>
      <c r="H6" s="32" t="str">
        <f t="shared" si="1"/>
        <v>8593-GSB-N/A</v>
      </c>
      <c r="I6" s="24"/>
      <c r="J6" s="32" t="s">
        <v>255</v>
      </c>
      <c r="K6" s="52"/>
      <c r="L6" s="32"/>
      <c r="M6" s="53"/>
      <c r="N6" s="53"/>
      <c r="O6" s="53"/>
      <c r="P6" s="49"/>
    </row>
    <row r="7">
      <c r="A7" s="22">
        <v>46141.0</v>
      </c>
      <c r="B7" s="24" t="s">
        <v>35</v>
      </c>
      <c r="C7" s="24" t="s">
        <v>257</v>
      </c>
      <c r="D7" s="2" t="s">
        <v>57</v>
      </c>
      <c r="E7" s="24">
        <v>1.0</v>
      </c>
      <c r="F7" s="24" t="s">
        <v>35</v>
      </c>
      <c r="G7" s="2">
        <v>8517.0</v>
      </c>
      <c r="H7" s="32" t="str">
        <f t="shared" si="1"/>
        <v>8517-GSB-N/A</v>
      </c>
      <c r="I7" s="24"/>
      <c r="J7" s="32" t="s">
        <v>255</v>
      </c>
      <c r="K7" s="52"/>
      <c r="L7" s="32"/>
      <c r="M7" s="53"/>
      <c r="N7" s="53"/>
      <c r="O7" s="53"/>
      <c r="P7" s="49"/>
    </row>
    <row r="8">
      <c r="A8" s="22">
        <v>46141.0</v>
      </c>
      <c r="B8" s="24" t="s">
        <v>35</v>
      </c>
      <c r="C8" s="24" t="s">
        <v>257</v>
      </c>
      <c r="D8" s="2" t="s">
        <v>57</v>
      </c>
      <c r="E8" s="24">
        <v>1.0</v>
      </c>
      <c r="F8" s="24" t="s">
        <v>35</v>
      </c>
      <c r="G8" s="2">
        <v>8591.0</v>
      </c>
      <c r="H8" s="32" t="str">
        <f t="shared" si="1"/>
        <v>8591-GSB-N/A</v>
      </c>
      <c r="I8" s="24"/>
      <c r="J8" s="32" t="s">
        <v>255</v>
      </c>
      <c r="K8" s="52"/>
      <c r="L8" s="32"/>
      <c r="M8" s="53"/>
      <c r="N8" s="53"/>
      <c r="O8" s="53"/>
      <c r="P8" s="49"/>
    </row>
    <row r="9">
      <c r="A9" s="22">
        <v>46141.0</v>
      </c>
      <c r="B9" s="24" t="s">
        <v>35</v>
      </c>
      <c r="C9" s="29">
        <v>4.998155081E9</v>
      </c>
      <c r="D9" s="62" t="s">
        <v>264</v>
      </c>
      <c r="E9" s="24">
        <v>1.0</v>
      </c>
      <c r="F9" s="24" t="s">
        <v>266</v>
      </c>
      <c r="G9" s="2">
        <v>3154.0</v>
      </c>
      <c r="H9" s="32" t="str">
        <f t="shared" si="1"/>
        <v>3154-GSB-092051354088750059</v>
      </c>
      <c r="I9" s="24"/>
      <c r="J9" s="32" t="s">
        <v>255</v>
      </c>
      <c r="K9" s="52"/>
      <c r="L9" s="32"/>
      <c r="M9" s="53"/>
      <c r="N9" s="53"/>
      <c r="O9" s="53"/>
      <c r="P9" s="49"/>
    </row>
    <row r="10">
      <c r="A10" s="50"/>
      <c r="B10" s="29"/>
      <c r="C10" s="2"/>
      <c r="D10" s="2"/>
      <c r="E10" s="24"/>
      <c r="F10" s="24"/>
      <c r="G10" s="24"/>
      <c r="H10" s="32"/>
      <c r="I10" s="32"/>
      <c r="J10" s="24"/>
      <c r="K10" s="52"/>
      <c r="L10" s="32"/>
      <c r="M10" s="53"/>
      <c r="N10" s="53"/>
      <c r="O10" s="53"/>
      <c r="P10" s="49"/>
    </row>
    <row r="11">
      <c r="A11" s="22"/>
      <c r="B11" s="24"/>
      <c r="C11" s="2"/>
      <c r="D11" s="2"/>
      <c r="E11" s="24"/>
      <c r="F11" s="24"/>
      <c r="G11" s="2"/>
      <c r="H11" s="32"/>
      <c r="I11" s="32"/>
      <c r="J11" s="24"/>
      <c r="K11" s="54"/>
      <c r="L11" s="24"/>
      <c r="M11" s="2"/>
      <c r="N11" s="36"/>
      <c r="O11" s="37"/>
      <c r="P11" s="49"/>
    </row>
    <row r="12">
      <c r="A12" s="22"/>
      <c r="B12" s="24"/>
      <c r="C12" s="2"/>
      <c r="D12" s="2"/>
      <c r="E12" s="24"/>
      <c r="F12" s="24"/>
      <c r="G12" s="2"/>
      <c r="H12" s="32"/>
      <c r="I12" s="32"/>
      <c r="J12" s="24"/>
      <c r="K12" s="54"/>
      <c r="L12" s="24"/>
      <c r="M12" s="2"/>
      <c r="N12" s="36"/>
      <c r="O12" s="37"/>
      <c r="P12" s="49"/>
    </row>
    <row r="13">
      <c r="A13" s="60"/>
      <c r="B13" s="60"/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  <c r="P13" s="49"/>
    </row>
    <row r="14">
      <c r="A14" s="60"/>
      <c r="B14" s="60"/>
      <c r="C14" s="60"/>
      <c r="D14" s="60"/>
      <c r="E14" s="60"/>
      <c r="F14" s="60"/>
      <c r="G14" s="60"/>
      <c r="H14" s="60"/>
      <c r="I14" s="60"/>
      <c r="J14" s="60"/>
      <c r="K14" s="60"/>
      <c r="L14" s="60"/>
      <c r="M14" s="60"/>
      <c r="N14" s="60"/>
      <c r="O14" s="60"/>
      <c r="P14" s="49"/>
    </row>
    <row r="15">
      <c r="A15" s="60"/>
      <c r="B15" s="60"/>
      <c r="C15" s="60"/>
      <c r="D15" s="60"/>
      <c r="E15" s="60"/>
      <c r="F15" s="60"/>
      <c r="G15" s="60"/>
      <c r="H15" s="60"/>
      <c r="I15" s="60"/>
      <c r="J15" s="60"/>
      <c r="K15" s="60"/>
      <c r="L15" s="60"/>
      <c r="M15" s="60"/>
      <c r="N15" s="60"/>
      <c r="O15" s="60"/>
      <c r="P15" s="49"/>
    </row>
    <row r="16">
      <c r="A16" s="60"/>
      <c r="B16" s="60"/>
      <c r="C16" s="60"/>
      <c r="D16" s="60"/>
      <c r="E16" s="60"/>
      <c r="F16" s="60"/>
      <c r="G16" s="60"/>
      <c r="H16" s="60"/>
      <c r="I16" s="60"/>
      <c r="J16" s="60"/>
      <c r="K16" s="60"/>
      <c r="L16" s="60"/>
      <c r="M16" s="60"/>
      <c r="N16" s="60"/>
      <c r="O16" s="60"/>
      <c r="P16" s="49"/>
    </row>
    <row r="17">
      <c r="A17" s="60"/>
      <c r="B17" s="60"/>
      <c r="C17" s="60"/>
      <c r="D17" s="60"/>
      <c r="E17" s="60"/>
      <c r="F17" s="60"/>
      <c r="G17" s="60"/>
      <c r="H17" s="60"/>
      <c r="I17" s="60"/>
      <c r="J17" s="60"/>
      <c r="K17" s="60"/>
      <c r="L17" s="60"/>
      <c r="M17" s="60"/>
      <c r="N17" s="60"/>
      <c r="O17" s="60"/>
    </row>
    <row r="18">
      <c r="A18" s="60"/>
      <c r="B18" s="60"/>
      <c r="C18" s="60"/>
      <c r="D18" s="60"/>
      <c r="E18" s="60"/>
      <c r="F18" s="60"/>
      <c r="G18" s="60"/>
      <c r="H18" s="60"/>
      <c r="I18" s="60"/>
      <c r="J18" s="60"/>
      <c r="K18" s="60"/>
      <c r="L18" s="60"/>
      <c r="M18" s="60"/>
      <c r="N18" s="60"/>
      <c r="O18" s="60"/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63"/>
    <col customWidth="1" min="3" max="3" width="12.0"/>
    <col customWidth="1" min="4" max="4" width="45.0"/>
    <col customWidth="1" min="6" max="6" width="20.25"/>
    <col customWidth="1" min="8" max="8" width="25.63"/>
    <col customWidth="1" min="9" max="9" width="17.5"/>
    <col customWidth="1" min="10" max="10" width="21.63"/>
    <col customWidth="1" min="11" max="11" width="19.0"/>
    <col customWidth="1" min="12" max="12" width="15.13"/>
    <col customWidth="1" min="13" max="13" width="17.88"/>
    <col customWidth="1" min="14" max="14" width="18.0"/>
    <col customWidth="1" min="15" max="15" width="20.88"/>
  </cols>
  <sheetData>
    <row r="1">
      <c r="A1" s="42" t="s">
        <v>3</v>
      </c>
      <c r="B1" s="42" t="s">
        <v>7</v>
      </c>
      <c r="C1" s="43" t="s">
        <v>12</v>
      </c>
      <c r="D1" s="42" t="s">
        <v>0</v>
      </c>
      <c r="E1" s="42" t="s">
        <v>1</v>
      </c>
      <c r="F1" s="44" t="s">
        <v>16</v>
      </c>
      <c r="G1" s="45" t="s">
        <v>19</v>
      </c>
      <c r="H1" s="42" t="s">
        <v>20</v>
      </c>
      <c r="I1" s="42" t="s">
        <v>22</v>
      </c>
      <c r="J1" s="42" t="s">
        <v>23</v>
      </c>
      <c r="K1" s="42" t="s">
        <v>24</v>
      </c>
      <c r="L1" s="42" t="s">
        <v>25</v>
      </c>
      <c r="M1" s="42" t="s">
        <v>26</v>
      </c>
      <c r="N1" s="46" t="s">
        <v>27</v>
      </c>
      <c r="O1" s="47" t="s">
        <v>30</v>
      </c>
      <c r="P1" s="49"/>
    </row>
    <row r="2">
      <c r="A2" s="22">
        <v>46141.0</v>
      </c>
      <c r="B2" s="24" t="s">
        <v>35</v>
      </c>
      <c r="C2" s="29">
        <v>4.998155081E9</v>
      </c>
      <c r="D2" s="62" t="s">
        <v>264</v>
      </c>
      <c r="E2" s="24">
        <v>1.0</v>
      </c>
      <c r="F2" s="24" t="s">
        <v>322</v>
      </c>
      <c r="G2" s="2">
        <v>7165.0</v>
      </c>
      <c r="H2" s="32" t="str">
        <f t="shared" ref="H2:H15" si="1">CONCATENATE(G2,"-","GSB","-",F2)</f>
        <v>7165-GSB-092051353971120124</v>
      </c>
      <c r="I2" s="32"/>
      <c r="J2" s="32" t="s">
        <v>325</v>
      </c>
      <c r="K2" s="52"/>
      <c r="L2" s="32"/>
      <c r="M2" s="2"/>
      <c r="N2" s="36"/>
      <c r="O2" s="37"/>
      <c r="P2" s="49"/>
    </row>
    <row r="3">
      <c r="A3" s="22">
        <v>46149.0</v>
      </c>
      <c r="B3" s="29">
        <v>2.093501849E9</v>
      </c>
      <c r="C3" s="29" t="s">
        <v>327</v>
      </c>
      <c r="D3" s="62" t="s">
        <v>328</v>
      </c>
      <c r="E3" s="29">
        <v>1.0</v>
      </c>
      <c r="F3" s="24">
        <v>4.22396478151002E16</v>
      </c>
      <c r="G3" s="2">
        <v>10174.0</v>
      </c>
      <c r="H3" s="29" t="str">
        <f t="shared" si="1"/>
        <v>10174-GSB-42239647815100200</v>
      </c>
      <c r="I3" s="32"/>
      <c r="J3" s="24" t="s">
        <v>152</v>
      </c>
      <c r="K3" s="52"/>
      <c r="L3" s="32"/>
      <c r="M3" s="2"/>
      <c r="N3" s="36"/>
      <c r="O3" s="37"/>
      <c r="P3" s="49"/>
    </row>
    <row r="4">
      <c r="A4" s="22">
        <v>46149.0</v>
      </c>
      <c r="B4" s="29">
        <v>2.093501849E9</v>
      </c>
      <c r="C4" s="29" t="s">
        <v>327</v>
      </c>
      <c r="D4" s="62" t="s">
        <v>328</v>
      </c>
      <c r="E4" s="29">
        <v>1.0</v>
      </c>
      <c r="F4" s="24" t="s">
        <v>331</v>
      </c>
      <c r="G4" s="2">
        <v>10175.0</v>
      </c>
      <c r="H4" s="29" t="str">
        <f t="shared" si="1"/>
        <v>10175-GSB-042239657406100348</v>
      </c>
      <c r="I4" s="32"/>
      <c r="J4" s="24" t="s">
        <v>152</v>
      </c>
      <c r="K4" s="52"/>
      <c r="L4" s="32"/>
      <c r="M4" s="2"/>
      <c r="N4" s="36"/>
      <c r="O4" s="37"/>
      <c r="P4" s="49"/>
    </row>
    <row r="5">
      <c r="A5" s="22">
        <v>46149.0</v>
      </c>
      <c r="B5" s="29">
        <v>2.093501849E9</v>
      </c>
      <c r="C5" s="29" t="s">
        <v>71</v>
      </c>
      <c r="D5" s="62" t="s">
        <v>50</v>
      </c>
      <c r="E5" s="29">
        <v>1.0</v>
      </c>
      <c r="F5" s="24">
        <v>4.21636478011006E16</v>
      </c>
      <c r="G5" s="2">
        <v>2472.0</v>
      </c>
      <c r="H5" s="29" t="str">
        <f t="shared" si="1"/>
        <v>2472-GSB-42163647801100600</v>
      </c>
      <c r="I5" s="32"/>
      <c r="J5" s="24" t="s">
        <v>152</v>
      </c>
      <c r="K5" s="52"/>
      <c r="L5" s="32"/>
      <c r="M5" s="53"/>
      <c r="N5" s="53"/>
      <c r="O5" s="53"/>
      <c r="P5" s="49"/>
    </row>
    <row r="6">
      <c r="A6" s="22">
        <v>46149.0</v>
      </c>
      <c r="B6" s="29">
        <v>2.093501849E9</v>
      </c>
      <c r="C6" s="24">
        <v>4.998117557E9</v>
      </c>
      <c r="D6" s="2" t="s">
        <v>5</v>
      </c>
      <c r="E6" s="24">
        <v>1.0</v>
      </c>
      <c r="F6" s="24" t="s">
        <v>338</v>
      </c>
      <c r="G6" s="2">
        <v>6006.0</v>
      </c>
      <c r="H6" s="29" t="str">
        <f t="shared" si="1"/>
        <v>6006-GSB-092256843826290712</v>
      </c>
      <c r="I6" s="32"/>
      <c r="J6" s="24" t="s">
        <v>152</v>
      </c>
      <c r="K6" s="52"/>
      <c r="L6" s="32"/>
      <c r="M6" s="53"/>
      <c r="N6" s="53"/>
      <c r="O6" s="53"/>
      <c r="P6" s="49"/>
    </row>
    <row r="7">
      <c r="A7" s="22">
        <v>46149.0</v>
      </c>
      <c r="B7" s="24" t="s">
        <v>135</v>
      </c>
      <c r="C7" s="24" t="s">
        <v>340</v>
      </c>
      <c r="D7" s="2" t="s">
        <v>341</v>
      </c>
      <c r="E7" s="24">
        <v>1.0</v>
      </c>
      <c r="F7" s="24" t="s">
        <v>35</v>
      </c>
      <c r="G7" s="2">
        <v>10070.0</v>
      </c>
      <c r="H7" s="32" t="str">
        <f t="shared" si="1"/>
        <v>10070-GSB-N/A</v>
      </c>
      <c r="I7" s="32"/>
      <c r="J7" s="24" t="s">
        <v>152</v>
      </c>
      <c r="K7" s="52"/>
      <c r="L7" s="32"/>
      <c r="M7" s="53"/>
      <c r="N7" s="53"/>
      <c r="O7" s="53"/>
      <c r="P7" s="49"/>
    </row>
    <row r="8">
      <c r="A8" s="22">
        <v>46149.0</v>
      </c>
      <c r="B8" s="24" t="s">
        <v>135</v>
      </c>
      <c r="C8" s="24" t="s">
        <v>340</v>
      </c>
      <c r="D8" s="2" t="s">
        <v>341</v>
      </c>
      <c r="E8" s="24">
        <v>1.0</v>
      </c>
      <c r="F8" s="24" t="s">
        <v>35</v>
      </c>
      <c r="G8" s="2">
        <v>10069.0</v>
      </c>
      <c r="H8" s="32" t="str">
        <f t="shared" si="1"/>
        <v>10069-GSB-N/A</v>
      </c>
      <c r="I8" s="32"/>
      <c r="J8" s="24" t="s">
        <v>152</v>
      </c>
      <c r="K8" s="52"/>
      <c r="L8" s="32"/>
      <c r="M8" s="53"/>
      <c r="N8" s="53"/>
      <c r="O8" s="53"/>
      <c r="P8" s="49"/>
    </row>
    <row r="9">
      <c r="A9" s="22">
        <v>46149.0</v>
      </c>
      <c r="B9" s="24" t="s">
        <v>345</v>
      </c>
      <c r="C9" s="24">
        <v>8.86618177071E11</v>
      </c>
      <c r="D9" s="2" t="s">
        <v>67</v>
      </c>
      <c r="E9" s="24">
        <v>1.0</v>
      </c>
      <c r="F9" s="24" t="s">
        <v>35</v>
      </c>
      <c r="G9" s="2">
        <v>10079.0</v>
      </c>
      <c r="H9" s="32" t="str">
        <f t="shared" si="1"/>
        <v>10079-GSB-N/A</v>
      </c>
      <c r="I9" s="32"/>
      <c r="J9" s="24" t="s">
        <v>152</v>
      </c>
      <c r="K9" s="52"/>
      <c r="L9" s="32"/>
      <c r="M9" s="2"/>
      <c r="N9" s="36"/>
      <c r="O9" s="37"/>
      <c r="P9" s="49"/>
    </row>
    <row r="10">
      <c r="A10" s="22">
        <v>46149.0</v>
      </c>
      <c r="B10" s="24" t="s">
        <v>35</v>
      </c>
      <c r="C10" s="24" t="s">
        <v>257</v>
      </c>
      <c r="D10" s="2" t="s">
        <v>57</v>
      </c>
      <c r="E10" s="24">
        <v>1.0</v>
      </c>
      <c r="F10" s="24" t="s">
        <v>35</v>
      </c>
      <c r="G10" s="2">
        <v>2324.0</v>
      </c>
      <c r="H10" s="29" t="str">
        <f t="shared" si="1"/>
        <v>2324-GSB-N/A</v>
      </c>
      <c r="I10" s="32"/>
      <c r="J10" s="24" t="s">
        <v>152</v>
      </c>
      <c r="K10" s="52"/>
      <c r="L10" s="32"/>
      <c r="M10" s="2"/>
      <c r="N10" s="36"/>
      <c r="O10" s="37"/>
      <c r="P10" s="49"/>
    </row>
    <row r="11">
      <c r="A11" s="22">
        <v>46149.0</v>
      </c>
      <c r="B11" s="24" t="s">
        <v>35</v>
      </c>
      <c r="C11" s="24">
        <v>4.998114565E9</v>
      </c>
      <c r="D11" s="2" t="s">
        <v>2</v>
      </c>
      <c r="E11" s="24">
        <v>1.0</v>
      </c>
      <c r="F11" s="24" t="s">
        <v>35</v>
      </c>
      <c r="G11" s="2">
        <v>10184.0</v>
      </c>
      <c r="H11" s="29" t="str">
        <f t="shared" si="1"/>
        <v>10184-GSB-N/A</v>
      </c>
      <c r="I11" s="32"/>
      <c r="J11" s="24" t="s">
        <v>152</v>
      </c>
      <c r="K11" s="52"/>
      <c r="L11" s="32"/>
      <c r="M11" s="2"/>
      <c r="N11" s="36"/>
      <c r="O11" s="37"/>
      <c r="P11" s="49"/>
    </row>
    <row r="12">
      <c r="A12" s="22">
        <v>46149.0</v>
      </c>
      <c r="B12" s="24" t="s">
        <v>35</v>
      </c>
      <c r="C12" s="24">
        <v>4.998114565E9</v>
      </c>
      <c r="D12" s="2" t="s">
        <v>2</v>
      </c>
      <c r="E12" s="24">
        <v>1.0</v>
      </c>
      <c r="F12" s="24" t="s">
        <v>351</v>
      </c>
      <c r="G12" s="2">
        <v>10178.0</v>
      </c>
      <c r="H12" s="29" t="str">
        <f t="shared" si="1"/>
        <v>10178-GSB-SDS-1035534</v>
      </c>
      <c r="I12" s="32"/>
      <c r="J12" s="24" t="s">
        <v>152</v>
      </c>
      <c r="K12" s="52"/>
      <c r="L12" s="32"/>
      <c r="M12" s="2"/>
      <c r="N12" s="36"/>
      <c r="O12" s="37"/>
      <c r="P12" s="49"/>
    </row>
    <row r="13">
      <c r="A13" s="22">
        <v>46149.0</v>
      </c>
      <c r="B13" s="24" t="s">
        <v>35</v>
      </c>
      <c r="C13" s="24">
        <v>4.998114565E9</v>
      </c>
      <c r="D13" s="2" t="s">
        <v>2</v>
      </c>
      <c r="E13" s="24">
        <v>1.0</v>
      </c>
      <c r="F13" s="24" t="s">
        <v>35</v>
      </c>
      <c r="G13" s="2">
        <v>10179.0</v>
      </c>
      <c r="H13" s="29" t="str">
        <f t="shared" si="1"/>
        <v>10179-GSB-N/A</v>
      </c>
      <c r="I13" s="32"/>
      <c r="J13" s="24" t="s">
        <v>152</v>
      </c>
      <c r="K13" s="52"/>
      <c r="L13" s="32"/>
      <c r="M13" s="2"/>
      <c r="N13" s="36"/>
      <c r="O13" s="37"/>
      <c r="P13" s="49"/>
    </row>
    <row r="14">
      <c r="A14" s="22">
        <v>46149.0</v>
      </c>
      <c r="B14" s="65" t="s">
        <v>35</v>
      </c>
      <c r="C14" s="65" t="s">
        <v>355</v>
      </c>
      <c r="D14" s="2" t="s">
        <v>356</v>
      </c>
      <c r="E14" s="29">
        <v>1.0</v>
      </c>
      <c r="F14" s="24" t="s">
        <v>357</v>
      </c>
      <c r="G14" s="2">
        <v>10172.0</v>
      </c>
      <c r="H14" s="29" t="str">
        <f t="shared" si="1"/>
        <v>10172-GSB-SDS-1027989</v>
      </c>
      <c r="I14" s="32"/>
      <c r="J14" s="24" t="s">
        <v>152</v>
      </c>
      <c r="K14" s="52"/>
      <c r="L14" s="32"/>
      <c r="M14" s="2"/>
      <c r="N14" s="36"/>
      <c r="O14" s="37"/>
      <c r="P14" s="49"/>
    </row>
    <row r="15">
      <c r="A15" s="22">
        <v>46149.0</v>
      </c>
      <c r="B15" s="29" t="s">
        <v>35</v>
      </c>
      <c r="C15" s="29" t="s">
        <v>355</v>
      </c>
      <c r="D15" s="2" t="s">
        <v>356</v>
      </c>
      <c r="E15" s="29">
        <v>1.0</v>
      </c>
      <c r="F15" s="24" t="s">
        <v>35</v>
      </c>
      <c r="G15" s="2">
        <v>10173.0</v>
      </c>
      <c r="H15" s="29" t="str">
        <f t="shared" si="1"/>
        <v>10173-GSB-N/A</v>
      </c>
      <c r="I15" s="32"/>
      <c r="J15" s="24" t="s">
        <v>152</v>
      </c>
      <c r="K15" s="52"/>
      <c r="L15" s="32"/>
      <c r="M15" s="2"/>
      <c r="N15" s="36"/>
      <c r="O15" s="37"/>
      <c r="P15" s="49"/>
    </row>
    <row r="16">
      <c r="A16" s="66"/>
      <c r="B16" s="67"/>
      <c r="C16" s="67"/>
      <c r="D16" s="68"/>
      <c r="E16" s="67"/>
      <c r="F16" s="66"/>
      <c r="G16" s="68"/>
      <c r="H16" s="67"/>
      <c r="I16" s="69"/>
      <c r="J16" s="66"/>
      <c r="K16" s="52"/>
      <c r="L16" s="32"/>
      <c r="M16" s="2"/>
      <c r="N16" s="36"/>
      <c r="O16" s="37"/>
      <c r="P16" s="49"/>
    </row>
    <row r="17">
      <c r="A17" s="60"/>
      <c r="B17" s="60"/>
      <c r="C17" s="60"/>
      <c r="D17" s="60"/>
      <c r="E17" s="60"/>
      <c r="F17" s="60"/>
      <c r="G17" s="60"/>
      <c r="H17" s="60"/>
      <c r="I17" s="60"/>
      <c r="J17" s="60"/>
      <c r="K17" s="60"/>
      <c r="L17" s="60"/>
      <c r="M17" s="60"/>
      <c r="N17" s="60"/>
      <c r="O17" s="60"/>
    </row>
    <row r="18">
      <c r="D18" s="49"/>
      <c r="E18" s="49"/>
      <c r="F18" s="49"/>
      <c r="G18" s="49"/>
      <c r="H18" s="49"/>
    </row>
    <row r="19">
      <c r="D19" s="49"/>
      <c r="E19" s="49"/>
      <c r="F19" s="49"/>
      <c r="G19" s="49"/>
      <c r="H19" s="49"/>
    </row>
    <row r="20">
      <c r="D20" s="49"/>
      <c r="E20" s="49"/>
      <c r="F20" s="49"/>
      <c r="G20" s="49"/>
      <c r="H20" s="49"/>
    </row>
    <row r="21">
      <c r="D21" s="49"/>
      <c r="E21" s="49"/>
      <c r="F21" s="49"/>
      <c r="G21" s="49"/>
      <c r="H21" s="49"/>
    </row>
    <row r="22">
      <c r="D22" s="49"/>
      <c r="E22" s="49"/>
      <c r="F22" s="49"/>
      <c r="G22" s="49"/>
      <c r="H22" s="49"/>
    </row>
    <row r="23">
      <c r="D23" s="49"/>
      <c r="E23" s="49"/>
      <c r="F23" s="49"/>
      <c r="G23" s="49"/>
      <c r="H23" s="49"/>
    </row>
    <row r="24">
      <c r="D24" s="49"/>
      <c r="E24" s="49"/>
      <c r="F24" s="49"/>
      <c r="G24" s="49"/>
      <c r="H24" s="49"/>
    </row>
    <row r="25">
      <c r="D25" s="49"/>
      <c r="E25" s="49"/>
      <c r="F25" s="49"/>
      <c r="G25" s="49"/>
      <c r="H25" s="49"/>
    </row>
    <row r="26">
      <c r="D26" s="49"/>
      <c r="E26" s="49"/>
      <c r="F26" s="49"/>
      <c r="G26" s="49"/>
      <c r="H26" s="49"/>
    </row>
    <row r="27">
      <c r="D27" s="49"/>
      <c r="E27" s="49"/>
      <c r="F27" s="49"/>
      <c r="G27" s="49"/>
      <c r="H27" s="49"/>
    </row>
    <row r="28">
      <c r="D28" s="49"/>
      <c r="E28" s="49"/>
      <c r="F28" s="49"/>
      <c r="G28" s="49"/>
      <c r="H28" s="49"/>
    </row>
    <row r="29">
      <c r="D29" s="49"/>
      <c r="E29" s="49"/>
      <c r="F29" s="49"/>
      <c r="G29" s="49"/>
      <c r="H29" s="49"/>
    </row>
    <row r="30">
      <c r="D30" s="49"/>
      <c r="E30" s="49"/>
      <c r="F30" s="49"/>
      <c r="G30" s="49"/>
      <c r="H30" s="49"/>
    </row>
    <row r="31">
      <c r="D31" s="49"/>
      <c r="E31" s="49"/>
      <c r="F31" s="49"/>
      <c r="G31" s="49"/>
      <c r="H31" s="49"/>
    </row>
    <row r="32">
      <c r="D32" s="49"/>
      <c r="E32" s="49"/>
      <c r="F32" s="49"/>
      <c r="G32" s="49"/>
      <c r="H32" s="49"/>
    </row>
    <row r="33">
      <c r="D33" s="49"/>
      <c r="E33" s="49"/>
      <c r="F33" s="49"/>
      <c r="G33" s="49"/>
      <c r="H33" s="49"/>
    </row>
    <row r="34">
      <c r="D34" s="49"/>
      <c r="E34" s="49"/>
      <c r="F34" s="49"/>
      <c r="G34" s="49"/>
      <c r="H34" s="49"/>
    </row>
    <row r="35">
      <c r="D35" s="49"/>
      <c r="E35" s="49"/>
      <c r="F35" s="49"/>
      <c r="G35" s="49"/>
      <c r="H35" s="49"/>
    </row>
  </sheetData>
  <drawing r:id="rId1"/>
  <tableParts count="2">
    <tablePart r:id="rId4"/>
    <tablePart r:id="rId5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63"/>
    <col customWidth="1" min="3" max="3" width="12.0"/>
    <col customWidth="1" min="4" max="4" width="44.25"/>
    <col customWidth="1" min="6" max="6" width="19.5"/>
    <col customWidth="1" min="8" max="8" width="25.63"/>
    <col customWidth="1" min="9" max="9" width="17.5"/>
    <col customWidth="1" min="10" max="10" width="16.63"/>
    <col customWidth="1" min="11" max="11" width="9.38"/>
    <col customWidth="1" min="12" max="12" width="15.13"/>
    <col customWidth="1" min="13" max="13" width="17.88"/>
    <col customWidth="1" min="14" max="14" width="18.0"/>
    <col customWidth="1" min="15" max="15" width="20.88"/>
  </cols>
  <sheetData>
    <row r="1">
      <c r="A1" s="42" t="s">
        <v>3</v>
      </c>
      <c r="B1" s="42" t="s">
        <v>7</v>
      </c>
      <c r="C1" s="43" t="s">
        <v>12</v>
      </c>
      <c r="D1" s="42" t="s">
        <v>0</v>
      </c>
      <c r="E1" s="42" t="s">
        <v>1</v>
      </c>
      <c r="F1" s="44" t="s">
        <v>16</v>
      </c>
      <c r="G1" s="45" t="s">
        <v>19</v>
      </c>
      <c r="H1" s="42" t="s">
        <v>20</v>
      </c>
      <c r="I1" s="42" t="s">
        <v>22</v>
      </c>
      <c r="J1" s="42" t="s">
        <v>23</v>
      </c>
      <c r="K1" s="42" t="s">
        <v>24</v>
      </c>
      <c r="L1" s="42" t="s">
        <v>25</v>
      </c>
      <c r="M1" s="42" t="s">
        <v>26</v>
      </c>
      <c r="N1" s="46" t="s">
        <v>27</v>
      </c>
      <c r="O1" s="47" t="s">
        <v>30</v>
      </c>
      <c r="P1" s="49"/>
    </row>
    <row r="2">
      <c r="A2" s="22">
        <v>46132.0</v>
      </c>
      <c r="B2" s="24" t="s">
        <v>35</v>
      </c>
      <c r="C2" s="24" t="s">
        <v>257</v>
      </c>
      <c r="D2" s="2" t="s">
        <v>57</v>
      </c>
      <c r="E2" s="24">
        <v>1.0</v>
      </c>
      <c r="F2" s="24" t="s">
        <v>35</v>
      </c>
      <c r="G2" s="2">
        <v>5537.0</v>
      </c>
      <c r="H2" s="32" t="str">
        <f t="shared" ref="H2:H19" si="1">CONCATENATE(G2,"-","GSB","-",F2)</f>
        <v>5537-GSB-N/A</v>
      </c>
      <c r="I2" s="32"/>
      <c r="J2" s="24" t="s">
        <v>408</v>
      </c>
      <c r="K2" s="52"/>
      <c r="L2" s="32"/>
      <c r="M2" s="2"/>
      <c r="N2" s="36"/>
      <c r="O2" s="37"/>
      <c r="P2" s="49"/>
    </row>
    <row r="3">
      <c r="A3" s="22">
        <v>46132.0</v>
      </c>
      <c r="B3" s="24" t="s">
        <v>35</v>
      </c>
      <c r="C3" s="24" t="s">
        <v>257</v>
      </c>
      <c r="D3" s="2" t="s">
        <v>57</v>
      </c>
      <c r="E3" s="24">
        <v>1.0</v>
      </c>
      <c r="F3" s="24" t="s">
        <v>35</v>
      </c>
      <c r="G3" s="2">
        <v>8604.0</v>
      </c>
      <c r="H3" s="32" t="str">
        <f t="shared" si="1"/>
        <v>8604-GSB-N/A</v>
      </c>
      <c r="I3" s="32"/>
      <c r="J3" s="24" t="s">
        <v>408</v>
      </c>
      <c r="K3" s="52"/>
      <c r="L3" s="32"/>
      <c r="M3" s="2"/>
      <c r="N3" s="36"/>
      <c r="O3" s="37"/>
      <c r="P3" s="49"/>
    </row>
    <row r="4">
      <c r="A4" s="22">
        <v>46132.0</v>
      </c>
      <c r="B4" s="24" t="s">
        <v>35</v>
      </c>
      <c r="C4" s="24" t="s">
        <v>108</v>
      </c>
      <c r="D4" s="2" t="s">
        <v>43</v>
      </c>
      <c r="E4" s="24">
        <v>1.0</v>
      </c>
      <c r="F4" s="24" t="s">
        <v>35</v>
      </c>
      <c r="G4" s="2">
        <v>7489.0</v>
      </c>
      <c r="H4" s="32" t="str">
        <f t="shared" si="1"/>
        <v>7489-GSB-N/A</v>
      </c>
      <c r="I4" s="32"/>
      <c r="J4" s="24" t="s">
        <v>408</v>
      </c>
      <c r="K4" s="52"/>
      <c r="L4" s="32"/>
      <c r="M4" s="53"/>
      <c r="N4" s="53"/>
      <c r="O4" s="53"/>
      <c r="P4" s="49"/>
    </row>
    <row r="5">
      <c r="A5" s="22">
        <v>46132.0</v>
      </c>
      <c r="B5" s="24" t="s">
        <v>35</v>
      </c>
      <c r="C5" s="24" t="s">
        <v>108</v>
      </c>
      <c r="D5" s="2" t="s">
        <v>43</v>
      </c>
      <c r="E5" s="24">
        <v>1.0</v>
      </c>
      <c r="F5" s="24" t="s">
        <v>35</v>
      </c>
      <c r="G5" s="2">
        <v>7424.0</v>
      </c>
      <c r="H5" s="32" t="str">
        <f t="shared" si="1"/>
        <v>7424-GSB-N/A</v>
      </c>
      <c r="I5" s="32"/>
      <c r="J5" s="24" t="s">
        <v>408</v>
      </c>
      <c r="K5" s="52"/>
      <c r="L5" s="32"/>
      <c r="M5" s="53"/>
      <c r="N5" s="53"/>
      <c r="O5" s="53"/>
      <c r="P5" s="49"/>
    </row>
    <row r="6">
      <c r="A6" s="22">
        <v>46132.0</v>
      </c>
      <c r="B6" s="24" t="s">
        <v>35</v>
      </c>
      <c r="C6" s="24">
        <v>4.998117557E9</v>
      </c>
      <c r="D6" s="2" t="s">
        <v>5</v>
      </c>
      <c r="E6" s="24">
        <v>1.0</v>
      </c>
      <c r="F6" s="24" t="s">
        <v>416</v>
      </c>
      <c r="G6" s="2">
        <v>8819.0</v>
      </c>
      <c r="H6" s="32" t="str">
        <f t="shared" si="1"/>
        <v>8819-GSB-092256854086180001</v>
      </c>
      <c r="I6" s="32"/>
      <c r="J6" s="24" t="s">
        <v>408</v>
      </c>
      <c r="K6" s="52"/>
      <c r="L6" s="32"/>
      <c r="M6" s="53"/>
      <c r="N6" s="53"/>
      <c r="O6" s="53"/>
      <c r="P6" s="49"/>
    </row>
    <row r="7">
      <c r="A7" s="22">
        <v>46132.0</v>
      </c>
      <c r="B7" s="24" t="s">
        <v>35</v>
      </c>
      <c r="C7" s="24">
        <v>4.998117557E9</v>
      </c>
      <c r="D7" s="2" t="s">
        <v>5</v>
      </c>
      <c r="E7" s="24">
        <v>1.0</v>
      </c>
      <c r="F7" s="24" t="s">
        <v>417</v>
      </c>
      <c r="G7" s="2">
        <v>8818.0</v>
      </c>
      <c r="H7" s="32" t="str">
        <f t="shared" si="1"/>
        <v>8818-GSB-092256853757440798</v>
      </c>
      <c r="I7" s="32"/>
      <c r="J7" s="24" t="s">
        <v>408</v>
      </c>
      <c r="K7" s="52"/>
      <c r="L7" s="32"/>
      <c r="M7" s="53"/>
      <c r="N7" s="53"/>
      <c r="O7" s="53"/>
      <c r="P7" s="49"/>
    </row>
    <row r="8">
      <c r="A8" s="22">
        <v>46132.0</v>
      </c>
      <c r="B8" s="24" t="s">
        <v>35</v>
      </c>
      <c r="C8" s="24" t="s">
        <v>202</v>
      </c>
      <c r="D8" s="2" t="s">
        <v>50</v>
      </c>
      <c r="E8" s="24">
        <v>1.0</v>
      </c>
      <c r="F8" s="24" t="s">
        <v>418</v>
      </c>
      <c r="G8" s="2">
        <v>7642.0</v>
      </c>
      <c r="H8" s="32" t="str">
        <f t="shared" si="1"/>
        <v>7642-GSB-042163657330100344</v>
      </c>
      <c r="I8" s="32"/>
      <c r="J8" s="24" t="s">
        <v>408</v>
      </c>
      <c r="K8" s="52"/>
      <c r="L8" s="32"/>
      <c r="M8" s="53"/>
      <c r="N8" s="53"/>
      <c r="O8" s="53"/>
      <c r="P8" s="49"/>
    </row>
    <row r="9">
      <c r="A9" s="22">
        <v>46132.0</v>
      </c>
      <c r="B9" s="24" t="s">
        <v>35</v>
      </c>
      <c r="C9" s="24" t="s">
        <v>202</v>
      </c>
      <c r="D9" s="2" t="s">
        <v>50</v>
      </c>
      <c r="E9" s="24">
        <v>1.0</v>
      </c>
      <c r="F9" s="24" t="s">
        <v>421</v>
      </c>
      <c r="G9" s="2">
        <v>7589.0</v>
      </c>
      <c r="H9" s="32" t="str">
        <f t="shared" si="1"/>
        <v>7589-GSB-042163657330100484</v>
      </c>
      <c r="I9" s="32"/>
      <c r="J9" s="24" t="s">
        <v>408</v>
      </c>
      <c r="K9" s="52"/>
      <c r="L9" s="32"/>
      <c r="M9" s="53"/>
      <c r="N9" s="53"/>
      <c r="O9" s="53"/>
      <c r="P9" s="49"/>
    </row>
    <row r="10">
      <c r="A10" s="22">
        <v>46132.0</v>
      </c>
      <c r="B10" s="24" t="s">
        <v>35</v>
      </c>
      <c r="C10" s="24" t="s">
        <v>202</v>
      </c>
      <c r="D10" s="2" t="s">
        <v>50</v>
      </c>
      <c r="E10" s="24">
        <v>1.0</v>
      </c>
      <c r="F10" s="24" t="s">
        <v>424</v>
      </c>
      <c r="G10" s="2">
        <v>3354.0</v>
      </c>
      <c r="H10" s="32" t="str">
        <f t="shared" si="1"/>
        <v>3354-GSB-042163654016100378</v>
      </c>
      <c r="I10" s="32"/>
      <c r="J10" s="24" t="s">
        <v>408</v>
      </c>
      <c r="K10" s="52"/>
      <c r="L10" s="32"/>
      <c r="M10" s="53"/>
      <c r="N10" s="53"/>
      <c r="O10" s="53"/>
      <c r="P10" s="49"/>
    </row>
    <row r="11">
      <c r="A11" s="22">
        <v>46132.0</v>
      </c>
      <c r="B11" s="24" t="s">
        <v>35</v>
      </c>
      <c r="C11" s="24" t="s">
        <v>202</v>
      </c>
      <c r="D11" s="2" t="s">
        <v>50</v>
      </c>
      <c r="E11" s="24">
        <v>1.0</v>
      </c>
      <c r="F11" s="24" t="s">
        <v>427</v>
      </c>
      <c r="G11" s="2">
        <v>3273.0</v>
      </c>
      <c r="H11" s="32" t="str">
        <f t="shared" si="1"/>
        <v>3273-GSB-042163654022100392</v>
      </c>
      <c r="I11" s="32"/>
      <c r="J11" s="24" t="s">
        <v>408</v>
      </c>
      <c r="K11" s="54"/>
      <c r="L11" s="24"/>
      <c r="M11" s="2"/>
      <c r="N11" s="36"/>
      <c r="O11" s="37"/>
      <c r="P11" s="49"/>
    </row>
    <row r="12">
      <c r="A12" s="22">
        <v>46132.0</v>
      </c>
      <c r="B12" s="24" t="s">
        <v>35</v>
      </c>
      <c r="C12" s="24" t="s">
        <v>202</v>
      </c>
      <c r="D12" s="2" t="s">
        <v>50</v>
      </c>
      <c r="E12" s="24">
        <v>1.0</v>
      </c>
      <c r="F12" s="24" t="s">
        <v>429</v>
      </c>
      <c r="G12" s="2">
        <v>7707.0</v>
      </c>
      <c r="H12" s="32" t="str">
        <f t="shared" si="1"/>
        <v>7707-GSB-042163657330100404</v>
      </c>
      <c r="I12" s="32"/>
      <c r="J12" s="24" t="s">
        <v>408</v>
      </c>
      <c r="K12" s="54"/>
      <c r="L12" s="24"/>
      <c r="M12" s="2"/>
      <c r="N12" s="36"/>
      <c r="O12" s="37"/>
      <c r="P12" s="49"/>
    </row>
    <row r="13">
      <c r="A13" s="22">
        <v>46132.0</v>
      </c>
      <c r="B13" s="24" t="s">
        <v>35</v>
      </c>
      <c r="C13" s="24" t="s">
        <v>327</v>
      </c>
      <c r="D13" s="2" t="s">
        <v>328</v>
      </c>
      <c r="E13" s="24">
        <v>1.0</v>
      </c>
      <c r="F13" s="24" t="s">
        <v>432</v>
      </c>
      <c r="G13" s="2">
        <v>7930.0</v>
      </c>
      <c r="H13" s="32" t="str">
        <f t="shared" si="1"/>
        <v>7930-GSB-042239657416100164</v>
      </c>
      <c r="I13" s="32"/>
      <c r="J13" s="24" t="s">
        <v>408</v>
      </c>
      <c r="K13" s="66"/>
      <c r="L13" s="66"/>
      <c r="M13" s="68"/>
      <c r="N13" s="72"/>
      <c r="O13" s="68"/>
      <c r="P13" s="49"/>
    </row>
    <row r="14">
      <c r="A14" s="22">
        <v>46132.0</v>
      </c>
      <c r="B14" s="24" t="s">
        <v>35</v>
      </c>
      <c r="C14" s="24" t="s">
        <v>355</v>
      </c>
      <c r="D14" s="2" t="s">
        <v>436</v>
      </c>
      <c r="E14" s="24">
        <v>1.0</v>
      </c>
      <c r="F14" s="24" t="s">
        <v>35</v>
      </c>
      <c r="G14" s="2">
        <v>3679.0</v>
      </c>
      <c r="H14" s="32" t="str">
        <f t="shared" si="1"/>
        <v>3679-GSB-N/A</v>
      </c>
      <c r="I14" s="32"/>
      <c r="J14" s="24" t="s">
        <v>408</v>
      </c>
      <c r="K14" s="66"/>
      <c r="L14" s="66"/>
      <c r="M14" s="68"/>
      <c r="N14" s="72"/>
      <c r="O14" s="68"/>
      <c r="P14" s="49"/>
    </row>
    <row r="15">
      <c r="A15" s="22">
        <v>46132.0</v>
      </c>
      <c r="B15" s="24" t="s">
        <v>35</v>
      </c>
      <c r="C15" s="24" t="s">
        <v>143</v>
      </c>
      <c r="D15" s="2" t="s">
        <v>439</v>
      </c>
      <c r="E15" s="24">
        <v>1.0</v>
      </c>
      <c r="F15" s="24" t="s">
        <v>35</v>
      </c>
      <c r="G15" s="2">
        <v>2651.0</v>
      </c>
      <c r="H15" s="32" t="str">
        <f t="shared" si="1"/>
        <v>2651-GSB-N/A</v>
      </c>
      <c r="I15" s="32"/>
      <c r="J15" s="24" t="s">
        <v>408</v>
      </c>
      <c r="K15" s="66"/>
      <c r="L15" s="66"/>
      <c r="M15" s="68"/>
      <c r="N15" s="72"/>
      <c r="O15" s="68"/>
      <c r="P15" s="49"/>
    </row>
    <row r="16">
      <c r="A16" s="22">
        <v>46132.0</v>
      </c>
      <c r="B16" s="24" t="s">
        <v>35</v>
      </c>
      <c r="C16" s="24" t="s">
        <v>143</v>
      </c>
      <c r="D16" s="62" t="s">
        <v>439</v>
      </c>
      <c r="E16" s="24">
        <v>1.0</v>
      </c>
      <c r="F16" s="24" t="s">
        <v>35</v>
      </c>
      <c r="G16" s="2">
        <v>8323.0</v>
      </c>
      <c r="H16" s="32" t="str">
        <f t="shared" si="1"/>
        <v>8323-GSB-N/A</v>
      </c>
      <c r="I16" s="32"/>
      <c r="J16" s="24" t="s">
        <v>408</v>
      </c>
      <c r="K16" s="66"/>
      <c r="L16" s="66"/>
      <c r="M16" s="68"/>
      <c r="N16" s="72"/>
      <c r="O16" s="68"/>
      <c r="P16" s="49"/>
    </row>
    <row r="17">
      <c r="A17" s="22">
        <v>46132.0</v>
      </c>
      <c r="B17" s="24" t="s">
        <v>35</v>
      </c>
      <c r="C17" s="24" t="s">
        <v>148</v>
      </c>
      <c r="D17" s="2" t="s">
        <v>4</v>
      </c>
      <c r="E17" s="24">
        <v>1.0</v>
      </c>
      <c r="F17" s="24" t="s">
        <v>35</v>
      </c>
      <c r="G17" s="2">
        <v>7997.0</v>
      </c>
      <c r="H17" s="32" t="str">
        <f t="shared" si="1"/>
        <v>7997-GSB-N/A</v>
      </c>
      <c r="I17" s="32"/>
      <c r="J17" s="24" t="s">
        <v>408</v>
      </c>
      <c r="K17" s="66"/>
      <c r="L17" s="66"/>
      <c r="M17" s="68"/>
      <c r="N17" s="72"/>
      <c r="O17" s="68"/>
    </row>
    <row r="18">
      <c r="A18" s="22">
        <v>46132.0</v>
      </c>
      <c r="B18" s="24" t="s">
        <v>35</v>
      </c>
      <c r="C18" s="24" t="s">
        <v>148</v>
      </c>
      <c r="D18" s="2" t="s">
        <v>4</v>
      </c>
      <c r="E18" s="24">
        <v>1.0</v>
      </c>
      <c r="F18" s="24" t="s">
        <v>35</v>
      </c>
      <c r="G18" s="2">
        <v>3874.0</v>
      </c>
      <c r="H18" s="32" t="str">
        <f t="shared" si="1"/>
        <v>3874-GSB-N/A</v>
      </c>
      <c r="I18" s="32"/>
      <c r="J18" s="24" t="s">
        <v>408</v>
      </c>
      <c r="K18" s="66"/>
      <c r="L18" s="66"/>
      <c r="M18" s="68"/>
      <c r="N18" s="72"/>
      <c r="O18" s="68"/>
    </row>
    <row r="19">
      <c r="A19" s="22">
        <v>46132.0</v>
      </c>
      <c r="B19" s="24" t="s">
        <v>35</v>
      </c>
      <c r="C19" s="24" t="s">
        <v>148</v>
      </c>
      <c r="D19" s="2" t="s">
        <v>4</v>
      </c>
      <c r="E19" s="24">
        <v>1.0</v>
      </c>
      <c r="F19" s="24" t="s">
        <v>35</v>
      </c>
      <c r="G19" s="2">
        <v>3875.0</v>
      </c>
      <c r="H19" s="32" t="str">
        <f t="shared" si="1"/>
        <v>3875-GSB-N/A</v>
      </c>
      <c r="I19" s="32"/>
      <c r="J19" s="24" t="s">
        <v>408</v>
      </c>
      <c r="K19" s="66"/>
      <c r="L19" s="66"/>
      <c r="M19" s="68"/>
      <c r="N19" s="72"/>
      <c r="O19" s="68"/>
    </row>
    <row r="20">
      <c r="A20" s="60"/>
      <c r="B20" s="60"/>
      <c r="C20" s="60"/>
      <c r="D20" s="60"/>
      <c r="E20" s="60"/>
      <c r="F20" s="60"/>
      <c r="G20" s="60"/>
      <c r="H20" s="60"/>
      <c r="I20" s="60"/>
      <c r="J20" s="60"/>
      <c r="K20" s="60"/>
      <c r="L20" s="60"/>
      <c r="M20" s="60"/>
      <c r="N20" s="60"/>
      <c r="O20" s="60"/>
    </row>
    <row r="21">
      <c r="A21" s="60"/>
      <c r="B21" s="60"/>
      <c r="C21" s="60"/>
      <c r="D21" s="60"/>
      <c r="E21" s="60"/>
      <c r="F21" s="60"/>
      <c r="G21" s="60"/>
      <c r="H21" s="60"/>
      <c r="I21" s="60"/>
      <c r="J21" s="60"/>
      <c r="K21" s="60"/>
      <c r="L21" s="60"/>
      <c r="M21" s="60"/>
      <c r="N21" s="60"/>
      <c r="O21" s="60"/>
    </row>
    <row r="22">
      <c r="A22" s="60"/>
      <c r="B22" s="60"/>
      <c r="C22" s="60"/>
      <c r="D22" s="60"/>
      <c r="E22" s="60"/>
      <c r="F22" s="60"/>
      <c r="G22" s="60"/>
      <c r="H22" s="60"/>
      <c r="I22" s="60"/>
      <c r="J22" s="60"/>
      <c r="K22" s="60"/>
      <c r="L22" s="60"/>
      <c r="M22" s="60"/>
      <c r="N22" s="60"/>
      <c r="O22" s="60"/>
    </row>
    <row r="23">
      <c r="A23" s="60"/>
      <c r="B23" s="60"/>
      <c r="C23" s="60"/>
      <c r="D23" s="60"/>
      <c r="E23" s="60"/>
      <c r="F23" s="60"/>
      <c r="G23" s="60"/>
      <c r="H23" s="60"/>
      <c r="I23" s="60"/>
      <c r="J23" s="60"/>
      <c r="K23" s="60"/>
      <c r="L23" s="60"/>
      <c r="M23" s="60"/>
      <c r="N23" s="60"/>
      <c r="O23" s="60"/>
    </row>
    <row r="24">
      <c r="A24" s="60"/>
      <c r="B24" s="60"/>
      <c r="C24" s="60"/>
      <c r="D24" s="60"/>
      <c r="E24" s="60"/>
      <c r="F24" s="60"/>
      <c r="G24" s="60"/>
      <c r="H24" s="60"/>
      <c r="I24" s="60"/>
      <c r="J24" s="60"/>
      <c r="K24" s="60"/>
      <c r="L24" s="60"/>
      <c r="M24" s="60"/>
      <c r="N24" s="60"/>
      <c r="O24" s="60"/>
    </row>
    <row r="25">
      <c r="A25" s="60"/>
      <c r="B25" s="60"/>
      <c r="C25" s="60"/>
      <c r="D25" s="60"/>
      <c r="E25" s="60"/>
      <c r="F25" s="60"/>
      <c r="G25" s="60"/>
      <c r="H25" s="60"/>
      <c r="I25" s="60"/>
      <c r="J25" s="60"/>
      <c r="K25" s="60"/>
      <c r="L25" s="60"/>
      <c r="M25" s="60"/>
      <c r="N25" s="60"/>
      <c r="O25" s="60"/>
    </row>
  </sheetData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63"/>
    <col customWidth="1" min="3" max="3" width="12.0"/>
    <col customWidth="1" min="4" max="4" width="42.38"/>
    <col customWidth="1" min="6" max="6" width="17.38"/>
    <col customWidth="1" min="8" max="8" width="25.63"/>
    <col customWidth="1" min="9" max="9" width="21.38"/>
    <col customWidth="1" min="10" max="10" width="19.13"/>
    <col customWidth="1" min="11" max="11" width="19.0"/>
    <col customWidth="1" min="12" max="12" width="13.5"/>
    <col customWidth="1" min="13" max="13" width="17.88"/>
    <col customWidth="1" min="14" max="14" width="18.0"/>
    <col customWidth="1" min="15" max="15" width="20.88"/>
  </cols>
  <sheetData>
    <row r="1">
      <c r="A1" s="42" t="s">
        <v>3</v>
      </c>
      <c r="B1" s="42" t="s">
        <v>7</v>
      </c>
      <c r="C1" s="43" t="s">
        <v>12</v>
      </c>
      <c r="D1" s="42" t="s">
        <v>0</v>
      </c>
      <c r="E1" s="42" t="s">
        <v>1</v>
      </c>
      <c r="F1" s="44" t="s">
        <v>16</v>
      </c>
      <c r="G1" s="45" t="s">
        <v>19</v>
      </c>
      <c r="H1" s="42" t="s">
        <v>20</v>
      </c>
      <c r="I1" s="42" t="s">
        <v>22</v>
      </c>
      <c r="J1" s="42" t="s">
        <v>23</v>
      </c>
      <c r="K1" s="42" t="s">
        <v>24</v>
      </c>
      <c r="L1" s="42" t="s">
        <v>25</v>
      </c>
      <c r="M1" s="42" t="s">
        <v>26</v>
      </c>
      <c r="N1" s="46" t="s">
        <v>27</v>
      </c>
      <c r="O1" s="47" t="s">
        <v>30</v>
      </c>
      <c r="P1" s="49"/>
    </row>
    <row r="2">
      <c r="A2" s="22">
        <v>46142.0</v>
      </c>
      <c r="B2" s="24"/>
      <c r="C2" s="24" t="s">
        <v>327</v>
      </c>
      <c r="D2" s="2" t="s">
        <v>328</v>
      </c>
      <c r="E2" s="24">
        <v>1.0</v>
      </c>
      <c r="F2" s="24" t="s">
        <v>468</v>
      </c>
      <c r="G2" s="2">
        <v>7770.0</v>
      </c>
      <c r="H2" s="32" t="str">
        <f t="shared" ref="H2:H17" si="1">CONCATENATE(G2,"-","GSB","-",F2)</f>
        <v>7770-GSB-042239657406100349</v>
      </c>
      <c r="I2" s="32"/>
      <c r="J2" s="24" t="s">
        <v>473</v>
      </c>
      <c r="K2" s="52"/>
      <c r="L2" s="32"/>
      <c r="M2" s="2"/>
      <c r="N2" s="36"/>
      <c r="O2" s="37"/>
      <c r="P2" s="49"/>
    </row>
    <row r="3">
      <c r="A3" s="22">
        <v>46142.0</v>
      </c>
      <c r="B3" s="24"/>
      <c r="C3" s="24" t="s">
        <v>327</v>
      </c>
      <c r="D3" s="2" t="s">
        <v>328</v>
      </c>
      <c r="E3" s="24">
        <v>1.0</v>
      </c>
      <c r="F3" s="24" t="s">
        <v>474</v>
      </c>
      <c r="G3" s="2">
        <v>10157.0</v>
      </c>
      <c r="H3" s="32" t="str">
        <f t="shared" si="1"/>
        <v>10157-GSB-042239647712100313</v>
      </c>
      <c r="I3" s="32"/>
      <c r="J3" s="24" t="s">
        <v>473</v>
      </c>
      <c r="K3" s="52"/>
      <c r="L3" s="32"/>
      <c r="M3" s="2"/>
      <c r="N3" s="36"/>
      <c r="O3" s="37"/>
      <c r="P3" s="49"/>
    </row>
    <row r="4">
      <c r="A4" s="22">
        <v>46142.0</v>
      </c>
      <c r="B4" s="24"/>
      <c r="C4" s="24" t="s">
        <v>327</v>
      </c>
      <c r="D4" s="2" t="s">
        <v>328</v>
      </c>
      <c r="E4" s="24">
        <v>1.0</v>
      </c>
      <c r="F4" s="24" t="s">
        <v>475</v>
      </c>
      <c r="G4" s="2">
        <v>10158.0</v>
      </c>
      <c r="H4" s="32" t="str">
        <f t="shared" si="1"/>
        <v>10158-GSB-042239657406100352</v>
      </c>
      <c r="I4" s="32"/>
      <c r="J4" s="24" t="s">
        <v>473</v>
      </c>
      <c r="K4" s="52"/>
      <c r="L4" s="32"/>
      <c r="M4" s="53"/>
      <c r="N4" s="53"/>
      <c r="O4" s="53"/>
      <c r="P4" s="49"/>
    </row>
    <row r="5">
      <c r="A5" s="22">
        <v>46142.0</v>
      </c>
      <c r="B5" s="24"/>
      <c r="C5" s="24" t="s">
        <v>327</v>
      </c>
      <c r="D5" s="2" t="s">
        <v>328</v>
      </c>
      <c r="E5" s="24">
        <v>1.0</v>
      </c>
      <c r="F5" s="24" t="s">
        <v>476</v>
      </c>
      <c r="G5" s="2">
        <v>10159.0</v>
      </c>
      <c r="H5" s="32" t="str">
        <f t="shared" si="1"/>
        <v>10159-GSB-042239654003100148</v>
      </c>
      <c r="I5" s="32"/>
      <c r="J5" s="24" t="s">
        <v>473</v>
      </c>
      <c r="K5" s="52"/>
      <c r="L5" s="32"/>
      <c r="M5" s="53"/>
      <c r="N5" s="53"/>
      <c r="O5" s="53"/>
      <c r="P5" s="49"/>
    </row>
    <row r="6">
      <c r="A6" s="22">
        <v>46142.0</v>
      </c>
      <c r="B6" s="24"/>
      <c r="C6" s="24" t="s">
        <v>342</v>
      </c>
      <c r="D6" s="2" t="s">
        <v>51</v>
      </c>
      <c r="E6" s="24">
        <v>1.0</v>
      </c>
      <c r="F6" s="24" t="s">
        <v>477</v>
      </c>
      <c r="G6" s="2">
        <v>10160.0</v>
      </c>
      <c r="H6" s="32" t="str">
        <f t="shared" si="1"/>
        <v>10160-GSB-042239847329100112</v>
      </c>
      <c r="I6" s="32"/>
      <c r="J6" s="24" t="s">
        <v>473</v>
      </c>
      <c r="K6" s="52"/>
      <c r="L6" s="32"/>
      <c r="M6" s="53"/>
      <c r="N6" s="53"/>
      <c r="O6" s="53"/>
      <c r="P6" s="49"/>
    </row>
    <row r="7">
      <c r="A7" s="22">
        <v>46142.0</v>
      </c>
      <c r="B7" s="24"/>
      <c r="C7" s="24" t="s">
        <v>342</v>
      </c>
      <c r="D7" s="2" t="s">
        <v>51</v>
      </c>
      <c r="E7" s="24">
        <v>1.0</v>
      </c>
      <c r="F7" s="24" t="s">
        <v>478</v>
      </c>
      <c r="G7" s="2">
        <v>1360.0</v>
      </c>
      <c r="H7" s="32" t="str">
        <f t="shared" si="1"/>
        <v>1360-GSB-042239837511100112</v>
      </c>
      <c r="I7" s="32" t="s">
        <v>479</v>
      </c>
      <c r="J7" s="24" t="s">
        <v>473</v>
      </c>
      <c r="K7" s="52"/>
      <c r="L7" s="32"/>
      <c r="M7" s="53"/>
      <c r="N7" s="53"/>
      <c r="O7" s="53"/>
      <c r="P7" s="49"/>
    </row>
    <row r="8">
      <c r="A8" s="22">
        <v>46142.0</v>
      </c>
      <c r="B8" s="24"/>
      <c r="C8" s="24" t="s">
        <v>342</v>
      </c>
      <c r="D8" s="2" t="s">
        <v>51</v>
      </c>
      <c r="E8" s="24">
        <v>1.0</v>
      </c>
      <c r="F8" s="24" t="s">
        <v>35</v>
      </c>
      <c r="G8" s="2">
        <v>10161.0</v>
      </c>
      <c r="H8" s="32" t="str">
        <f t="shared" si="1"/>
        <v>10161-GSB-N/A</v>
      </c>
      <c r="I8" s="32"/>
      <c r="J8" s="24" t="s">
        <v>473</v>
      </c>
      <c r="K8" s="52"/>
      <c r="L8" s="32"/>
      <c r="M8" s="53"/>
      <c r="N8" s="53"/>
      <c r="O8" s="53"/>
      <c r="P8" s="49"/>
    </row>
    <row r="9">
      <c r="A9" s="22">
        <v>46142.0</v>
      </c>
      <c r="B9" s="24"/>
      <c r="C9" s="24" t="s">
        <v>342</v>
      </c>
      <c r="D9" s="2" t="s">
        <v>51</v>
      </c>
      <c r="E9" s="24">
        <v>1.0</v>
      </c>
      <c r="F9" s="24" t="s">
        <v>480</v>
      </c>
      <c r="G9" s="2">
        <v>5319.0</v>
      </c>
      <c r="H9" s="32" t="str">
        <f t="shared" si="1"/>
        <v>5319-GSB-042239847828100010</v>
      </c>
      <c r="I9" s="32"/>
      <c r="J9" s="24" t="s">
        <v>473</v>
      </c>
      <c r="K9" s="52"/>
      <c r="L9" s="32"/>
      <c r="M9" s="53"/>
      <c r="N9" s="53"/>
      <c r="O9" s="53"/>
      <c r="P9" s="49"/>
    </row>
    <row r="10">
      <c r="A10" s="22">
        <v>46142.0</v>
      </c>
      <c r="B10" s="24"/>
      <c r="C10" s="24"/>
      <c r="D10" s="59" t="s">
        <v>41</v>
      </c>
      <c r="E10" s="24">
        <v>1.0</v>
      </c>
      <c r="F10" s="24" t="s">
        <v>35</v>
      </c>
      <c r="G10" s="2" t="s">
        <v>35</v>
      </c>
      <c r="H10" s="32" t="str">
        <f t="shared" si="1"/>
        <v>N/A-GSB-N/A</v>
      </c>
      <c r="I10" s="32"/>
      <c r="J10" s="24" t="s">
        <v>473</v>
      </c>
      <c r="K10" s="52"/>
      <c r="L10" s="32"/>
      <c r="M10" s="53"/>
      <c r="N10" s="53"/>
      <c r="O10" s="53"/>
      <c r="P10" s="49"/>
    </row>
    <row r="11">
      <c r="A11" s="22">
        <v>46142.0</v>
      </c>
      <c r="B11" s="24"/>
      <c r="C11" s="24"/>
      <c r="D11" s="2" t="s">
        <v>481</v>
      </c>
      <c r="E11" s="24">
        <v>1.0</v>
      </c>
      <c r="F11" s="24" t="s">
        <v>35</v>
      </c>
      <c r="G11" s="2">
        <v>9095.0</v>
      </c>
      <c r="H11" s="32" t="str">
        <f t="shared" si="1"/>
        <v>9095-GSB-N/A</v>
      </c>
      <c r="I11" s="32"/>
      <c r="J11" s="24" t="s">
        <v>473</v>
      </c>
      <c r="K11" s="54"/>
      <c r="L11" s="24"/>
      <c r="M11" s="2"/>
      <c r="N11" s="36"/>
      <c r="O11" s="37"/>
      <c r="P11" s="49"/>
    </row>
    <row r="12">
      <c r="A12" s="50">
        <v>45897.0</v>
      </c>
      <c r="B12" s="24">
        <v>2.093501849E9</v>
      </c>
      <c r="C12" s="24">
        <v>4.998117557E9</v>
      </c>
      <c r="D12" s="2" t="s">
        <v>5</v>
      </c>
      <c r="E12" s="24">
        <v>1.0</v>
      </c>
      <c r="F12" s="32" t="s">
        <v>482</v>
      </c>
      <c r="G12" s="32">
        <v>5879.0</v>
      </c>
      <c r="H12" s="24" t="str">
        <f t="shared" si="1"/>
        <v>5879-GSB-092256847892120393</v>
      </c>
      <c r="I12" s="29" t="s">
        <v>458</v>
      </c>
      <c r="J12" s="29" t="s">
        <v>473</v>
      </c>
      <c r="K12" s="54"/>
      <c r="L12" s="24"/>
      <c r="M12" s="2"/>
      <c r="N12" s="36"/>
      <c r="O12" s="37"/>
      <c r="P12" s="49"/>
    </row>
    <row r="13">
      <c r="A13" s="50">
        <v>45897.0</v>
      </c>
      <c r="B13" s="29">
        <v>2.093501849E9</v>
      </c>
      <c r="C13" s="24">
        <v>4.998117557E9</v>
      </c>
      <c r="D13" s="2" t="s">
        <v>5</v>
      </c>
      <c r="E13" s="24">
        <v>1.0</v>
      </c>
      <c r="F13" s="24" t="s">
        <v>483</v>
      </c>
      <c r="G13" s="24">
        <v>4929.0</v>
      </c>
      <c r="H13" s="32" t="str">
        <f t="shared" si="1"/>
        <v>4929-GSB-092256847517520208</v>
      </c>
      <c r="I13" s="32"/>
      <c r="J13" s="24" t="s">
        <v>85</v>
      </c>
      <c r="K13" s="66"/>
      <c r="L13" s="66"/>
      <c r="M13" s="68"/>
      <c r="N13" s="72"/>
      <c r="O13" s="68"/>
      <c r="P13" s="49"/>
    </row>
    <row r="14">
      <c r="A14" s="50">
        <v>46064.0</v>
      </c>
      <c r="B14" s="29" t="s">
        <v>94</v>
      </c>
      <c r="C14" s="24">
        <v>4.998114565E9</v>
      </c>
      <c r="D14" s="2" t="s">
        <v>2</v>
      </c>
      <c r="E14" s="24">
        <v>1.0</v>
      </c>
      <c r="F14" s="24">
        <v>1035646.0</v>
      </c>
      <c r="G14" s="24">
        <v>9113.0</v>
      </c>
      <c r="H14" s="32" t="str">
        <f t="shared" si="1"/>
        <v>9113-GSB-1035646</v>
      </c>
      <c r="I14" s="32"/>
      <c r="J14" s="24" t="s">
        <v>85</v>
      </c>
      <c r="K14" s="66"/>
      <c r="L14" s="66"/>
      <c r="M14" s="68"/>
      <c r="N14" s="72"/>
      <c r="O14" s="68"/>
      <c r="P14" s="49"/>
    </row>
    <row r="15">
      <c r="A15" s="50">
        <v>46064.0</v>
      </c>
      <c r="B15" s="29" t="s">
        <v>94</v>
      </c>
      <c r="C15" s="24" t="s">
        <v>129</v>
      </c>
      <c r="D15" s="2" t="s">
        <v>296</v>
      </c>
      <c r="E15" s="24">
        <v>1.0</v>
      </c>
      <c r="F15" s="24">
        <v>9.314034762786E16</v>
      </c>
      <c r="G15" s="24">
        <v>9121.0</v>
      </c>
      <c r="H15" s="32" t="str">
        <f t="shared" si="1"/>
        <v>9121-GSB-93140347627860000</v>
      </c>
      <c r="I15" s="32"/>
      <c r="J15" s="24" t="s">
        <v>85</v>
      </c>
      <c r="K15" s="66"/>
      <c r="L15" s="66"/>
      <c r="M15" s="68"/>
      <c r="N15" s="72"/>
      <c r="O15" s="68"/>
      <c r="P15" s="49"/>
    </row>
    <row r="16">
      <c r="A16" s="22">
        <v>46142.0</v>
      </c>
      <c r="B16" s="24"/>
      <c r="C16" s="24"/>
      <c r="D16" s="2" t="s">
        <v>48</v>
      </c>
      <c r="E16" s="2">
        <v>1.0</v>
      </c>
      <c r="F16" s="24"/>
      <c r="G16" s="2">
        <v>10162.0</v>
      </c>
      <c r="H16" s="32" t="str">
        <f t="shared" si="1"/>
        <v>10162-GSB-</v>
      </c>
      <c r="I16" s="32"/>
      <c r="J16" s="24" t="s">
        <v>473</v>
      </c>
      <c r="K16" s="66"/>
      <c r="L16" s="66"/>
      <c r="M16" s="68"/>
      <c r="N16" s="72"/>
      <c r="O16" s="68"/>
      <c r="P16" s="49"/>
    </row>
    <row r="17">
      <c r="A17" s="22">
        <v>46142.0</v>
      </c>
      <c r="B17" s="24"/>
      <c r="C17" s="24"/>
      <c r="D17" s="2" t="s">
        <v>48</v>
      </c>
      <c r="E17" s="24">
        <v>1.0</v>
      </c>
      <c r="F17" s="24"/>
      <c r="G17" s="2">
        <v>1765.0</v>
      </c>
      <c r="H17" s="32" t="str">
        <f t="shared" si="1"/>
        <v>1765-GSB-</v>
      </c>
      <c r="I17" s="32" t="s">
        <v>484</v>
      </c>
      <c r="J17" s="24" t="s">
        <v>473</v>
      </c>
      <c r="K17" s="66"/>
      <c r="L17" s="66"/>
      <c r="M17" s="68"/>
      <c r="N17" s="72"/>
      <c r="O17" s="68"/>
    </row>
    <row r="18">
      <c r="A18" s="60"/>
      <c r="B18" s="60"/>
      <c r="C18" s="60"/>
      <c r="D18" s="60"/>
      <c r="E18" s="60"/>
      <c r="F18" s="60"/>
      <c r="G18" s="60"/>
      <c r="H18" s="60"/>
      <c r="I18" s="60"/>
      <c r="J18" s="60"/>
      <c r="K18" s="60"/>
      <c r="L18" s="60"/>
      <c r="M18" s="60"/>
      <c r="N18" s="60"/>
      <c r="O18" s="60"/>
    </row>
  </sheetData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4.88"/>
    <col customWidth="1" min="2" max="2" width="14.75"/>
    <col customWidth="1" min="4" max="4" width="32.38"/>
    <col customWidth="1" min="5" max="5" width="17.75"/>
    <col customWidth="1" min="6" max="6" width="37.5"/>
    <col customWidth="1" min="7" max="7" width="22.38"/>
  </cols>
  <sheetData>
    <row r="1">
      <c r="A1" s="13" t="s">
        <v>23</v>
      </c>
      <c r="B1" s="13" t="s">
        <v>469</v>
      </c>
      <c r="C1" s="13" t="s">
        <v>13</v>
      </c>
      <c r="D1" s="76" t="s">
        <v>470</v>
      </c>
      <c r="E1" s="13" t="s">
        <v>471</v>
      </c>
      <c r="F1" s="77" t="s">
        <v>472</v>
      </c>
    </row>
    <row r="3">
      <c r="A3" s="78" t="str">
        <f>IFERROR(__xludf.DUMMYFUNCTION("QUERY(SALIDAS!A:G,""SELECT C,E WHERE (F= '""&amp;B1&amp;""' AND B= date '""&amp;D1&amp;""')"",1)"),"#REF!")</f>
        <v>#REF!</v>
      </c>
    </row>
    <row r="4">
      <c r="B4" s="79"/>
    </row>
    <row r="5">
      <c r="B5" s="79"/>
    </row>
  </sheetData>
  <dataValidations>
    <dataValidation type="list" allowBlank="1" showErrorMessage="1" sqref="B1">
      <formula1>FILTROS!$A$2:$A$29</formula1>
    </dataValidation>
  </dataValidations>
  <drawing r:id="rId1"/>
</worksheet>
</file>